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Cynthia\Documents\CHI\"/>
    </mc:Choice>
  </mc:AlternateContent>
  <xr:revisionPtr revIDLastSave="0" documentId="13_ncr:1_{14F13049-48B6-4CB9-BE8B-8833042C5F29}"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PIVOT TABLE" sheetId="2" r:id="rId2"/>
    <sheet name="DASHBOARD" sheetId="3" r:id="rId3"/>
  </sheets>
  <definedNames>
    <definedName name="_xlnm._FilterDatabase" localSheetId="0" hidden="1">DATA!$A$1:$L$301</definedName>
    <definedName name="_xlnm._FilterDatabase" localSheetId="1" hidden="1">'PIVOT TABLE'!$D$77:$E$77</definedName>
    <definedName name="_xlchart.v1.0" hidden="1">'PIVOT TABLE'!$W$5:$W$14</definedName>
    <definedName name="_xlchart.v1.1" hidden="1">'PIVOT TABLE'!$X$5:$X$14</definedName>
    <definedName name="_xlchart.v1.2" hidden="1">'PIVOT TABLE'!$W$5:$W$14</definedName>
    <definedName name="_xlchart.v1.3" hidden="1">'PIVOT TABLE'!$X$5:$X$14</definedName>
    <definedName name="_xlchart.v2.10" hidden="1">'PIVOT TABLE'!$D$78:$D$87</definedName>
    <definedName name="_xlchart.v2.11" hidden="1">'PIVOT TABLE'!$E$77</definedName>
    <definedName name="_xlchart.v2.12" hidden="1">'PIVOT TABLE'!$E$78:$E$87</definedName>
    <definedName name="_xlchart.v2.4" hidden="1">'PIVOT TABLE'!$C$29:$C$40</definedName>
    <definedName name="_xlchart.v2.5" hidden="1">'PIVOT TABLE'!$D$28</definedName>
    <definedName name="_xlchart.v2.6" hidden="1">'PIVOT TABLE'!$D$29:$D$40</definedName>
    <definedName name="_xlchart.v2.7" hidden="1">'PIVOT TABLE'!$D$78:$D$87</definedName>
    <definedName name="_xlchart.v2.8" hidden="1">'PIVOT TABLE'!$E$77</definedName>
    <definedName name="_xlchart.v2.9" hidden="1">'PIVOT TABLE'!$E$78:$E$87</definedName>
    <definedName name="Slicer_Category">#N/A</definedName>
    <definedName name="Slicer_Month.">#N/A</definedName>
    <definedName name="Slicer_Year">#N/A</definedName>
  </definedNames>
  <calcPr calcId="191029"/>
  <pivotCaches>
    <pivotCache cacheId="7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V2" i="2"/>
  <c r="C39" i="2"/>
  <c r="D39" i="2"/>
  <c r="C38" i="2"/>
  <c r="D38" i="2"/>
  <c r="C37" i="2"/>
  <c r="D37" i="2"/>
  <c r="C36" i="2"/>
  <c r="D36" i="2"/>
  <c r="C35" i="2"/>
  <c r="D35" i="2"/>
  <c r="C34" i="2"/>
  <c r="D34" i="2"/>
  <c r="C33" i="2"/>
  <c r="D33" i="2"/>
  <c r="C32" i="2"/>
  <c r="D32" i="2"/>
  <c r="C31" i="2"/>
  <c r="D31" i="2"/>
  <c r="C30" i="2"/>
  <c r="D30" i="2"/>
  <c r="C29" i="2"/>
  <c r="D29" i="2"/>
  <c r="C41" i="2"/>
  <c r="D41" i="2"/>
  <c r="D40" i="2"/>
  <c r="C40"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alcChain>
</file>

<file path=xl/sharedStrings.xml><?xml version="1.0" encoding="utf-8"?>
<sst xmlns="http://schemas.openxmlformats.org/spreadsheetml/2006/main" count="1941" uniqueCount="901">
  <si>
    <t>Order Date</t>
  </si>
  <si>
    <t>Customer Name</t>
  </si>
  <si>
    <t>State</t>
  </si>
  <si>
    <t>Category</t>
  </si>
  <si>
    <t>Sub-Category</t>
  </si>
  <si>
    <t>Product Name</t>
  </si>
  <si>
    <t>Sales</t>
  </si>
  <si>
    <t>Quantity</t>
  </si>
  <si>
    <t>Profit</t>
  </si>
  <si>
    <t>Year</t>
  </si>
  <si>
    <t>2025-10-17</t>
  </si>
  <si>
    <t>2025-11-14</t>
  </si>
  <si>
    <t>2024-05-07</t>
  </si>
  <si>
    <t>2024-11-30</t>
  </si>
  <si>
    <t>2025-08-29</t>
  </si>
  <si>
    <t>2024-07-18</t>
  </si>
  <si>
    <t>2024-04-26</t>
  </si>
  <si>
    <t>2025-01-03</t>
  </si>
  <si>
    <t>2025-09-10</t>
  </si>
  <si>
    <t>2024-01-04</t>
  </si>
  <si>
    <t>2024-10-14</t>
  </si>
  <si>
    <t>2025-11-11</t>
  </si>
  <si>
    <t>2024-02-05</t>
  </si>
  <si>
    <t>2025-07-21</t>
  </si>
  <si>
    <t>2024-11-27</t>
  </si>
  <si>
    <t>2024-10-21</t>
  </si>
  <si>
    <t>2024-11-29</t>
  </si>
  <si>
    <t>2025-09-30</t>
  </si>
  <si>
    <t>2024-12-08</t>
  </si>
  <si>
    <t>2024-12-19</t>
  </si>
  <si>
    <t>2025-07-30</t>
  </si>
  <si>
    <t>2024-07-22</t>
  </si>
  <si>
    <t>2025-02-15</t>
  </si>
  <si>
    <t>2025-06-17</t>
  </si>
  <si>
    <t>2024-08-17</t>
  </si>
  <si>
    <t>2025-03-20</t>
  </si>
  <si>
    <t>2024-02-02</t>
  </si>
  <si>
    <t>2024-05-15</t>
  </si>
  <si>
    <t>2025-07-16</t>
  </si>
  <si>
    <t>2025-09-22</t>
  </si>
  <si>
    <t>2024-12-13</t>
  </si>
  <si>
    <t>2024-10-10</t>
  </si>
  <si>
    <t>2025-04-02</t>
  </si>
  <si>
    <t>2024-06-22</t>
  </si>
  <si>
    <t>2025-07-10</t>
  </si>
  <si>
    <t>2025-10-31</t>
  </si>
  <si>
    <t>2025-04-05</t>
  </si>
  <si>
    <t>2025-02-16</t>
  </si>
  <si>
    <t>2024-12-03</t>
  </si>
  <si>
    <t>2025-11-28</t>
  </si>
  <si>
    <t>2025-09-14</t>
  </si>
  <si>
    <t>2025-01-25</t>
  </si>
  <si>
    <t>2025-07-14</t>
  </si>
  <si>
    <t>2025-05-24</t>
  </si>
  <si>
    <t>2024-11-20</t>
  </si>
  <si>
    <t>2024-07-07</t>
  </si>
  <si>
    <t>2025-09-23</t>
  </si>
  <si>
    <t>2025-10-29</t>
  </si>
  <si>
    <t>2025-07-12</t>
  </si>
  <si>
    <t>2025-07-08</t>
  </si>
  <si>
    <t>2024-08-24</t>
  </si>
  <si>
    <t>2024-07-01</t>
  </si>
  <si>
    <t>2025-09-03</t>
  </si>
  <si>
    <t>2025-10-28</t>
  </si>
  <si>
    <t>2025-03-16</t>
  </si>
  <si>
    <t>2024-12-29</t>
  </si>
  <si>
    <t>2025-07-03</t>
  </si>
  <si>
    <t>2024-02-17</t>
  </si>
  <si>
    <t>2024-10-11</t>
  </si>
  <si>
    <t>2024-01-27</t>
  </si>
  <si>
    <t>2024-02-22</t>
  </si>
  <si>
    <t>2025-09-20</t>
  </si>
  <si>
    <t>2025-07-06</t>
  </si>
  <si>
    <t>2025-07-25</t>
  </si>
  <si>
    <t>2025-03-31</t>
  </si>
  <si>
    <t>2024-08-31</t>
  </si>
  <si>
    <t>2024-05-26</t>
  </si>
  <si>
    <t>2025-12-31</t>
  </si>
  <si>
    <t>2024-03-31</t>
  </si>
  <si>
    <t>2024-10-17</t>
  </si>
  <si>
    <t>2025-10-13</t>
  </si>
  <si>
    <t>2024-01-06</t>
  </si>
  <si>
    <t>2025-07-02</t>
  </si>
  <si>
    <t>2024-11-06</t>
  </si>
  <si>
    <t>2025-07-27</t>
  </si>
  <si>
    <t>2024-09-25</t>
  </si>
  <si>
    <t>2025-06-25</t>
  </si>
  <si>
    <t>2024-08-27</t>
  </si>
  <si>
    <t>2025-04-16</t>
  </si>
  <si>
    <t>2025-01-01</t>
  </si>
  <si>
    <t>2024-03-18</t>
  </si>
  <si>
    <t>2024-07-31</t>
  </si>
  <si>
    <t>2025-04-28</t>
  </si>
  <si>
    <t>2025-03-21</t>
  </si>
  <si>
    <t>2025-05-19</t>
  </si>
  <si>
    <t>2025-10-26</t>
  </si>
  <si>
    <t>2024-08-16</t>
  </si>
  <si>
    <t>2024-12-11</t>
  </si>
  <si>
    <t>2025-10-19</t>
  </si>
  <si>
    <t>2025-04-25</t>
  </si>
  <si>
    <t>2025-03-22</t>
  </si>
  <si>
    <t>2025-11-10</t>
  </si>
  <si>
    <t>2024-04-23</t>
  </si>
  <si>
    <t>2025-10-02</t>
  </si>
  <si>
    <t>2025-05-15</t>
  </si>
  <si>
    <t>2025-07-04</t>
  </si>
  <si>
    <t>2025-04-11</t>
  </si>
  <si>
    <t>2024-01-03</t>
  </si>
  <si>
    <t>2025-04-10</t>
  </si>
  <si>
    <t>2024-10-20</t>
  </si>
  <si>
    <t>2025-03-09</t>
  </si>
  <si>
    <t>2025-07-31</t>
  </si>
  <si>
    <t>2024-11-02</t>
  </si>
  <si>
    <t>2025-06-09</t>
  </si>
  <si>
    <t>2024-05-14</t>
  </si>
  <si>
    <t>2025-05-03</t>
  </si>
  <si>
    <t>2024-05-31</t>
  </si>
  <si>
    <t>2024-11-26</t>
  </si>
  <si>
    <t>2024-03-27</t>
  </si>
  <si>
    <t>2025-11-18</t>
  </si>
  <si>
    <t>2025-10-01</t>
  </si>
  <si>
    <t>2025-08-20</t>
  </si>
  <si>
    <t>2025-05-04</t>
  </si>
  <si>
    <t>2024-10-15</t>
  </si>
  <si>
    <t>2025-10-30</t>
  </si>
  <si>
    <t>2024-06-26</t>
  </si>
  <si>
    <t>2024-06-05</t>
  </si>
  <si>
    <t>2024-12-22</t>
  </si>
  <si>
    <t>2024-04-16</t>
  </si>
  <si>
    <t>2025-08-01</t>
  </si>
  <si>
    <t>2025-05-26</t>
  </si>
  <si>
    <t>2025-12-03</t>
  </si>
  <si>
    <t>2024-01-11</t>
  </si>
  <si>
    <t>2025-01-31</t>
  </si>
  <si>
    <t>2025-12-02</t>
  </si>
  <si>
    <t>2024-11-11</t>
  </si>
  <si>
    <t>2025-08-14</t>
  </si>
  <si>
    <t>2024-04-05</t>
  </si>
  <si>
    <t>2025-01-21</t>
  </si>
  <si>
    <t>2025-10-04</t>
  </si>
  <si>
    <t>2024-03-06</t>
  </si>
  <si>
    <t>2024-07-05</t>
  </si>
  <si>
    <t>2024-07-15</t>
  </si>
  <si>
    <t>2024-09-02</t>
  </si>
  <si>
    <t>2024-07-04</t>
  </si>
  <si>
    <t>2024-01-23</t>
  </si>
  <si>
    <t>2024-10-08</t>
  </si>
  <si>
    <t>2025-09-11</t>
  </si>
  <si>
    <t>2024-10-06</t>
  </si>
  <si>
    <t>2024-10-12</t>
  </si>
  <si>
    <t>2025-02-22</t>
  </si>
  <si>
    <t>2024-03-01</t>
  </si>
  <si>
    <t>2025-10-11</t>
  </si>
  <si>
    <t>2024-03-30</t>
  </si>
  <si>
    <t>2024-02-23</t>
  </si>
  <si>
    <t>2024-01-01</t>
  </si>
  <si>
    <t>2024-01-26</t>
  </si>
  <si>
    <t>2024-11-17</t>
  </si>
  <si>
    <t>2024-07-11</t>
  </si>
  <si>
    <t>2024-11-05</t>
  </si>
  <si>
    <t>2024-04-01</t>
  </si>
  <si>
    <t>2024-08-28</t>
  </si>
  <si>
    <t>2025-08-02</t>
  </si>
  <si>
    <t>2024-11-14</t>
  </si>
  <si>
    <t>2024-06-15</t>
  </si>
  <si>
    <t>2024-09-27</t>
  </si>
  <si>
    <t>2024-09-06</t>
  </si>
  <si>
    <t>2024-01-31</t>
  </si>
  <si>
    <t>2025-02-20</t>
  </si>
  <si>
    <t>2024-12-02</t>
  </si>
  <si>
    <t>2025-12-09</t>
  </si>
  <si>
    <t>2024-03-16</t>
  </si>
  <si>
    <t>2024-04-27</t>
  </si>
  <si>
    <t>2025-12-29</t>
  </si>
  <si>
    <t>2024-10-01</t>
  </si>
  <si>
    <t>2025-01-18</t>
  </si>
  <si>
    <t>2024-07-23</t>
  </si>
  <si>
    <t>2024-03-28</t>
  </si>
  <si>
    <t>2024-08-30</t>
  </si>
  <si>
    <t>2025-04-22</t>
  </si>
  <si>
    <t>2025-10-07</t>
  </si>
  <si>
    <t>2024-09-01</t>
  </si>
  <si>
    <t>2024-12-17</t>
  </si>
  <si>
    <t>2025-09-24</t>
  </si>
  <si>
    <t>2024-12-20</t>
  </si>
  <si>
    <t>2024-05-10</t>
  </si>
  <si>
    <t>2024-06-06</t>
  </si>
  <si>
    <t>2025-01-23</t>
  </si>
  <si>
    <t>2025-12-10</t>
  </si>
  <si>
    <t>2024-11-10</t>
  </si>
  <si>
    <t>2025-03-23</t>
  </si>
  <si>
    <t>2024-07-13</t>
  </si>
  <si>
    <t>2025-10-25</t>
  </si>
  <si>
    <t>2025-10-22</t>
  </si>
  <si>
    <t>2024-01-28</t>
  </si>
  <si>
    <t>2025-02-27</t>
  </si>
  <si>
    <t>2024-10-02</t>
  </si>
  <si>
    <t>2024-03-29</t>
  </si>
  <si>
    <t>2025-12-30</t>
  </si>
  <si>
    <t>2025-11-30</t>
  </si>
  <si>
    <t>2024-02-07</t>
  </si>
  <si>
    <t>2024-08-08</t>
  </si>
  <si>
    <t>2024-01-20</t>
  </si>
  <si>
    <t>2024-08-07</t>
  </si>
  <si>
    <t>2024-09-03</t>
  </si>
  <si>
    <t>2025-01-29</t>
  </si>
  <si>
    <t>2024-10-16</t>
  </si>
  <si>
    <t>2024-04-07</t>
  </si>
  <si>
    <t>2025-08-27</t>
  </si>
  <si>
    <t>2025-04-12</t>
  </si>
  <si>
    <t>2025-01-04</t>
  </si>
  <si>
    <t>2024-09-15</t>
  </si>
  <si>
    <t>2025-08-15</t>
  </si>
  <si>
    <t>2024-04-29</t>
  </si>
  <si>
    <t>2024-12-30</t>
  </si>
  <si>
    <t>2025-03-29</t>
  </si>
  <si>
    <t>2025-11-01</t>
  </si>
  <si>
    <t>2024-05-09</t>
  </si>
  <si>
    <t>2025-07-24</t>
  </si>
  <si>
    <t>2024-09-13</t>
  </si>
  <si>
    <t>2024-11-13</t>
  </si>
  <si>
    <t>2024-03-03</t>
  </si>
  <si>
    <t>2025-05-14</t>
  </si>
  <si>
    <t>2024-01-02</t>
  </si>
  <si>
    <t>2024-12-26</t>
  </si>
  <si>
    <t>2024-05-02</t>
  </si>
  <si>
    <t>2024-05-24</t>
  </si>
  <si>
    <t>2024-04-08</t>
  </si>
  <si>
    <t>2025-09-25</t>
  </si>
  <si>
    <t>2025-05-21</t>
  </si>
  <si>
    <t>2024-11-01</t>
  </si>
  <si>
    <t>2024-10-25</t>
  </si>
  <si>
    <t>2025-04-23</t>
  </si>
  <si>
    <t>2025-09-08</t>
  </si>
  <si>
    <t>2025-06-21</t>
  </si>
  <si>
    <t>2024-08-01</t>
  </si>
  <si>
    <t>2024-02-26</t>
  </si>
  <si>
    <t>2024-01-18</t>
  </si>
  <si>
    <t>2025-03-11</t>
  </si>
  <si>
    <t>2024-02-01</t>
  </si>
  <si>
    <t>2024-07-30</t>
  </si>
  <si>
    <t>2024-11-18</t>
  </si>
  <si>
    <t>2025-12-13</t>
  </si>
  <si>
    <t>2025-05-08</t>
  </si>
  <si>
    <t>2024-12-04</t>
  </si>
  <si>
    <t>2025-11-23</t>
  </si>
  <si>
    <t>2025-08-31</t>
  </si>
  <si>
    <t>2024-10-05</t>
  </si>
  <si>
    <t>2024-06-19</t>
  </si>
  <si>
    <t>Patrick Cooper</t>
  </si>
  <si>
    <t>Elizabeth Cameron</t>
  </si>
  <si>
    <t>Rachael Adams</t>
  </si>
  <si>
    <t>Amanda Hunt</t>
  </si>
  <si>
    <t>Kimberly Roberts</t>
  </si>
  <si>
    <t>Rhonda Lewis</t>
  </si>
  <si>
    <t>Anthony Heath</t>
  </si>
  <si>
    <t>Eric Johnson</t>
  </si>
  <si>
    <t>Robert Sandoval</t>
  </si>
  <si>
    <t>Kathy Woodward</t>
  </si>
  <si>
    <t>Angela Avery</t>
  </si>
  <si>
    <t>Megan Luna</t>
  </si>
  <si>
    <t>Catherine Hughes</t>
  </si>
  <si>
    <t>Kelly Wallace</t>
  </si>
  <si>
    <t>Destiny Sullivan</t>
  </si>
  <si>
    <t>Tammy Lewis</t>
  </si>
  <si>
    <t>James Atkinson</t>
  </si>
  <si>
    <t>Mitchell Smith</t>
  </si>
  <si>
    <t>Nicholas Roberts</t>
  </si>
  <si>
    <t>Richard Lutz</t>
  </si>
  <si>
    <t>Michael Bailey</t>
  </si>
  <si>
    <t>Sandra Stephens</t>
  </si>
  <si>
    <t>Stefanie Cox DDS</t>
  </si>
  <si>
    <t>Nicholas Hill</t>
  </si>
  <si>
    <t>Miss Michele Graham</t>
  </si>
  <si>
    <t>Tamara Hansen</t>
  </si>
  <si>
    <t>James Hall</t>
  </si>
  <si>
    <t>Kathryn Shea</t>
  </si>
  <si>
    <t>Michelle Robinson</t>
  </si>
  <si>
    <t>Austin Wyatt</t>
  </si>
  <si>
    <t>Michelle Estrada</t>
  </si>
  <si>
    <t>Lauren Ferguson</t>
  </si>
  <si>
    <t>Warren Brewer</t>
  </si>
  <si>
    <t>Kenneth Martin</t>
  </si>
  <si>
    <t>Savannah Schroeder</t>
  </si>
  <si>
    <t>Shawn Lynn</t>
  </si>
  <si>
    <t>Robert Warner</t>
  </si>
  <si>
    <t>Amanda Paul</t>
  </si>
  <si>
    <t>Sarah Hill</t>
  </si>
  <si>
    <t>Brandy Shaw</t>
  </si>
  <si>
    <t>Peter Payne</t>
  </si>
  <si>
    <t>Frank Nichols</t>
  </si>
  <si>
    <t>Crystal Sosa</t>
  </si>
  <si>
    <t>Courtney Osborne</t>
  </si>
  <si>
    <t>Amy Taylor</t>
  </si>
  <si>
    <t>Jennifer Tyler</t>
  </si>
  <si>
    <t>Karl Mays</t>
  </si>
  <si>
    <t>Jerry Tran</t>
  </si>
  <si>
    <t>Curtis Powell</t>
  </si>
  <si>
    <t>Jeff Stewart</t>
  </si>
  <si>
    <t>Bridget Alvarado</t>
  </si>
  <si>
    <t>Carmen Herrera</t>
  </si>
  <si>
    <t>Christopher Reyes</t>
  </si>
  <si>
    <t>Daniel Miller</t>
  </si>
  <si>
    <t>Tiffany Trevino</t>
  </si>
  <si>
    <t>Sean Boyle</t>
  </si>
  <si>
    <t>Randy Jacobs</t>
  </si>
  <si>
    <t>Carolyn Le</t>
  </si>
  <si>
    <t>Wendy Vincent</t>
  </si>
  <si>
    <t>Erica Diaz</t>
  </si>
  <si>
    <t>Heidi House</t>
  </si>
  <si>
    <t>Daniel Rowe</t>
  </si>
  <si>
    <t>Haley Frank</t>
  </si>
  <si>
    <t>Ryan Myers</t>
  </si>
  <si>
    <t>Erica Swanson</t>
  </si>
  <si>
    <t>Colleen Jones</t>
  </si>
  <si>
    <t>Max Taylor</t>
  </si>
  <si>
    <t>Dean Estes</t>
  </si>
  <si>
    <t>Carolyn Bryant</t>
  </si>
  <si>
    <t>Lisa Cunningham</t>
  </si>
  <si>
    <t>Justin Hicks</t>
  </si>
  <si>
    <t>Amy Williams</t>
  </si>
  <si>
    <t>William Ramos</t>
  </si>
  <si>
    <t>Emily Rhodes</t>
  </si>
  <si>
    <t>Amanda Jackson</t>
  </si>
  <si>
    <t>Brett Pope</t>
  </si>
  <si>
    <t>Tyler Cannon</t>
  </si>
  <si>
    <t>Jennifer Stout</t>
  </si>
  <si>
    <t>Julia Thompson</t>
  </si>
  <si>
    <t>Sandra Elliott</t>
  </si>
  <si>
    <t>Maria Johnson</t>
  </si>
  <si>
    <t>Adam Lambert</t>
  </si>
  <si>
    <t>Ronald Coleman</t>
  </si>
  <si>
    <t>Mrs. Jennifer Nelson DDS</t>
  </si>
  <si>
    <t>Joshua Miller</t>
  </si>
  <si>
    <t>Karen Barnett</t>
  </si>
  <si>
    <t>Benjamin Adams</t>
  </si>
  <si>
    <t>Anthony Barber</t>
  </si>
  <si>
    <t>Brittany Walls</t>
  </si>
  <si>
    <t>Dustin Webster</t>
  </si>
  <si>
    <t>Justin Huerta</t>
  </si>
  <si>
    <t>Melissa Guerra</t>
  </si>
  <si>
    <t>Richard Gonzales</t>
  </si>
  <si>
    <t>Patricia Cantrell</t>
  </si>
  <si>
    <t>Jacqueline Greene</t>
  </si>
  <si>
    <t>Justin Smith</t>
  </si>
  <si>
    <t>Marcus Anderson</t>
  </si>
  <si>
    <t>Daniel Reed</t>
  </si>
  <si>
    <t>Megan Garcia</t>
  </si>
  <si>
    <t>Christopher Brock</t>
  </si>
  <si>
    <t>Ariana Chambers</t>
  </si>
  <si>
    <t>Terry Dean</t>
  </si>
  <si>
    <t>Lisa King</t>
  </si>
  <si>
    <t>Allison Thomas</t>
  </si>
  <si>
    <t>Nicole Mccullough</t>
  </si>
  <si>
    <t>Samantha Jones</t>
  </si>
  <si>
    <t>Charles Hess</t>
  </si>
  <si>
    <t>Gregory Gibson</t>
  </si>
  <si>
    <t>Kristin Bailey</t>
  </si>
  <si>
    <t>Debra Giles</t>
  </si>
  <si>
    <t>Susan Jones</t>
  </si>
  <si>
    <t>Amy Douglas</t>
  </si>
  <si>
    <t>Michael Brown</t>
  </si>
  <si>
    <t>Lindsay Campbell</t>
  </si>
  <si>
    <t>Wayne Vasquez</t>
  </si>
  <si>
    <t>Veronica Smith</t>
  </si>
  <si>
    <t>Devin Reeves</t>
  </si>
  <si>
    <t>Jenna Jones</t>
  </si>
  <si>
    <t>Francisco Hill</t>
  </si>
  <si>
    <t>Christopher Mason</t>
  </si>
  <si>
    <t>Ryan Moon</t>
  </si>
  <si>
    <t>Christine Stokes</t>
  </si>
  <si>
    <t>Lorraine Pierce</t>
  </si>
  <si>
    <t>Austin Tran</t>
  </si>
  <si>
    <t>Christine Miller</t>
  </si>
  <si>
    <t>Brittany Hebert</t>
  </si>
  <si>
    <t>Gregory Lopez</t>
  </si>
  <si>
    <t>Shari Kennedy</t>
  </si>
  <si>
    <t>Jonathan Garrett</t>
  </si>
  <si>
    <t>Carrie Wood</t>
  </si>
  <si>
    <t>Joseph Smith</t>
  </si>
  <si>
    <t>Andrew Cole</t>
  </si>
  <si>
    <t>Brendan Peterson</t>
  </si>
  <si>
    <t>Michael Moore</t>
  </si>
  <si>
    <t>Lucas Good</t>
  </si>
  <si>
    <t>Edwin Hill</t>
  </si>
  <si>
    <t>Christine Simmons</t>
  </si>
  <si>
    <t>Tony Cook</t>
  </si>
  <si>
    <t>Tracy Quinn</t>
  </si>
  <si>
    <t>Sierra Gibson</t>
  </si>
  <si>
    <t>Adam Collins</t>
  </si>
  <si>
    <t>Heather Jones</t>
  </si>
  <si>
    <t>Matthew Munoz</t>
  </si>
  <si>
    <t>Stephanie Miles</t>
  </si>
  <si>
    <t>Yesenia Hernandez</t>
  </si>
  <si>
    <t>Megan Leblanc</t>
  </si>
  <si>
    <t>Jennifer Smith</t>
  </si>
  <si>
    <t>Vincent Ingram</t>
  </si>
  <si>
    <t>Gerald Bruce</t>
  </si>
  <si>
    <t>Thomas Atkins</t>
  </si>
  <si>
    <t>Albert Jimenez</t>
  </si>
  <si>
    <t>Christopher Wilson</t>
  </si>
  <si>
    <t>Rebecca Wilson</t>
  </si>
  <si>
    <t>Jennifer Hoffman</t>
  </si>
  <si>
    <t>Brian Bryant</t>
  </si>
  <si>
    <t>Arthur Harris</t>
  </si>
  <si>
    <t>Lindsay Parker</t>
  </si>
  <si>
    <t>Jennifer Thomas</t>
  </si>
  <si>
    <t>Justin Sparks</t>
  </si>
  <si>
    <t>Julian Butler</t>
  </si>
  <si>
    <t>Sherry Griffin</t>
  </si>
  <si>
    <t>Jacob Perry</t>
  </si>
  <si>
    <t>Timothy Perez</t>
  </si>
  <si>
    <t>Brian Morales</t>
  </si>
  <si>
    <t>Rachel Allison</t>
  </si>
  <si>
    <t>Charles Deleon</t>
  </si>
  <si>
    <t>Linda Burnett</t>
  </si>
  <si>
    <t>Virginia Palmer</t>
  </si>
  <si>
    <t>Richard Williams</t>
  </si>
  <si>
    <t>Joshua Cox</t>
  </si>
  <si>
    <t>Bryan Evans</t>
  </si>
  <si>
    <t>Mrs. Maria Pineda MD</t>
  </si>
  <si>
    <t>Catherine Robles</t>
  </si>
  <si>
    <t>William Johnson</t>
  </si>
  <si>
    <t>Samantha Castillo</t>
  </si>
  <si>
    <t>George Ellis</t>
  </si>
  <si>
    <t>Rachel Francis</t>
  </si>
  <si>
    <t>Kathryn Dudley</t>
  </si>
  <si>
    <t>Michael Baldwin</t>
  </si>
  <si>
    <t>Candice Rowe</t>
  </si>
  <si>
    <t>Kari Neal</t>
  </si>
  <si>
    <t>Harold Lopez</t>
  </si>
  <si>
    <t>William Burns</t>
  </si>
  <si>
    <t>Jacob Jones</t>
  </si>
  <si>
    <t>Debra Montes</t>
  </si>
  <si>
    <t>Cindy Jackson</t>
  </si>
  <si>
    <t>Destiny Shannon</t>
  </si>
  <si>
    <t>Craig Knapp MD</t>
  </si>
  <si>
    <t>Loretta Jordan</t>
  </si>
  <si>
    <t>Mr. Matthew Taylor</t>
  </si>
  <si>
    <t>John Miller</t>
  </si>
  <si>
    <t>Kelly Johnson</t>
  </si>
  <si>
    <t>Ethan Jones</t>
  </si>
  <si>
    <t>Kimberly Evans</t>
  </si>
  <si>
    <t>William Wright</t>
  </si>
  <si>
    <t>Jason Young</t>
  </si>
  <si>
    <t>Jessica Smith</t>
  </si>
  <si>
    <t>Jessica Gomez</t>
  </si>
  <si>
    <t>Barbara Lloyd</t>
  </si>
  <si>
    <t>Anna Perez</t>
  </si>
  <si>
    <t>April Dominguez</t>
  </si>
  <si>
    <t>Rebecca Hernandez</t>
  </si>
  <si>
    <t>Kendra Stone</t>
  </si>
  <si>
    <t>Kristen Fritz</t>
  </si>
  <si>
    <t>Samuel Williams</t>
  </si>
  <si>
    <t>Melanie Hunter</t>
  </si>
  <si>
    <t>Sharon Higgins</t>
  </si>
  <si>
    <t>Regina Martinez</t>
  </si>
  <si>
    <t>Howard Jones</t>
  </si>
  <si>
    <t>Zachary Sweeney</t>
  </si>
  <si>
    <t>Michael Palmer</t>
  </si>
  <si>
    <t>Dana Williams</t>
  </si>
  <si>
    <t>Jonathan Richards</t>
  </si>
  <si>
    <t>Robin Middleton</t>
  </si>
  <si>
    <t>Christopher Perez</t>
  </si>
  <si>
    <t>Sonya Ross</t>
  </si>
  <si>
    <t>Nathan Freeman</t>
  </si>
  <si>
    <t>Ronald Jones</t>
  </si>
  <si>
    <t>Denise Campbell</t>
  </si>
  <si>
    <t>Holly Douglas</t>
  </si>
  <si>
    <t>Paula Preston</t>
  </si>
  <si>
    <t>Elizabeth Jackson</t>
  </si>
  <si>
    <t>Adam Nichols</t>
  </si>
  <si>
    <t>Matthew Thomas</t>
  </si>
  <si>
    <t>Tracy Myers</t>
  </si>
  <si>
    <t>Mrs. Tonya Nelson</t>
  </si>
  <si>
    <t>Patrick Adams</t>
  </si>
  <si>
    <t>Roy Bowers</t>
  </si>
  <si>
    <t>Marissa Watson</t>
  </si>
  <si>
    <t>Linda Howell</t>
  </si>
  <si>
    <t>Zachary Mckinney</t>
  </si>
  <si>
    <t>Mario Henderson</t>
  </si>
  <si>
    <t>Candace Frank</t>
  </si>
  <si>
    <t>Melissa Rodriguez</t>
  </si>
  <si>
    <t>Melanie Evans</t>
  </si>
  <si>
    <t>Mariah Richardson</t>
  </si>
  <si>
    <t>Michael Johnson</t>
  </si>
  <si>
    <t>Kylie Campbell</t>
  </si>
  <si>
    <t>Cassandra Montgomery</t>
  </si>
  <si>
    <t>Dustin Foster</t>
  </si>
  <si>
    <t>Matthew Potter</t>
  </si>
  <si>
    <t>Natasha Sanchez</t>
  </si>
  <si>
    <t>Deborah Knight</t>
  </si>
  <si>
    <t>Zachary Murray</t>
  </si>
  <si>
    <t>Danielle Smith</t>
  </si>
  <si>
    <t>Destiny Mitchell</t>
  </si>
  <si>
    <t>Walter Richards</t>
  </si>
  <si>
    <t>Scott Manning</t>
  </si>
  <si>
    <t>Michael Wu</t>
  </si>
  <si>
    <t>Jonathan Bauer</t>
  </si>
  <si>
    <t>Terri Parsons DDS</t>
  </si>
  <si>
    <t>Randy Smith</t>
  </si>
  <si>
    <t>Kevin Henderson</t>
  </si>
  <si>
    <t>Ryan Crawford</t>
  </si>
  <si>
    <t>Matthew Smith</t>
  </si>
  <si>
    <t>Steven Conway</t>
  </si>
  <si>
    <t>Heather Bryant</t>
  </si>
  <si>
    <t>Ryan Hopkins</t>
  </si>
  <si>
    <t>Joseph Gilbert</t>
  </si>
  <si>
    <t>Melissa Christian</t>
  </si>
  <si>
    <t>Melissa Marshall</t>
  </si>
  <si>
    <t>Katelyn Davis</t>
  </si>
  <si>
    <t>Jerry Malone</t>
  </si>
  <si>
    <t>Jerry Ramirez</t>
  </si>
  <si>
    <t>Hannah Sanchez</t>
  </si>
  <si>
    <t>Ronald Delgado</t>
  </si>
  <si>
    <t>John Brown</t>
  </si>
  <si>
    <t>Robert Sanchez</t>
  </si>
  <si>
    <t>Megan Perez</t>
  </si>
  <si>
    <t>Christine Caldwell</t>
  </si>
  <si>
    <t>Jeremy Hahn</t>
  </si>
  <si>
    <t>Matthew Gonzales</t>
  </si>
  <si>
    <t>Angela Gonzalez</t>
  </si>
  <si>
    <t>Tonya Scott</t>
  </si>
  <si>
    <t>Rodney Lee</t>
  </si>
  <si>
    <t>Amber Brown</t>
  </si>
  <si>
    <t>Craig Brown</t>
  </si>
  <si>
    <t>Denise Hall</t>
  </si>
  <si>
    <t>Kimberly Buck</t>
  </si>
  <si>
    <t>Christopher Sampson</t>
  </si>
  <si>
    <t>Peter Neal</t>
  </si>
  <si>
    <t>John Johnson</t>
  </si>
  <si>
    <t>Gary Taylor</t>
  </si>
  <si>
    <t>Brett Anderson</t>
  </si>
  <si>
    <t>Stanley Adams</t>
  </si>
  <si>
    <t>Michael Williams</t>
  </si>
  <si>
    <t>Patricia Paul</t>
  </si>
  <si>
    <t>Shawn Wilson</t>
  </si>
  <si>
    <t>Robert Fletcher</t>
  </si>
  <si>
    <t>Jonathan Palmer Jr.</t>
  </si>
  <si>
    <t>Katherine Rosales</t>
  </si>
  <si>
    <t>Christopher Michael MD</t>
  </si>
  <si>
    <t>Michael Myers</t>
  </si>
  <si>
    <t>Steven Lee</t>
  </si>
  <si>
    <t>Sara Willis</t>
  </si>
  <si>
    <t>Allison Leach</t>
  </si>
  <si>
    <t>Douglas Gomez</t>
  </si>
  <si>
    <t>Glenda Berry</t>
  </si>
  <si>
    <t>Patrick Vega</t>
  </si>
  <si>
    <t>Brittney Phillips</t>
  </si>
  <si>
    <t>Delta</t>
  </si>
  <si>
    <t>Kaduna</t>
  </si>
  <si>
    <t>Oyo</t>
  </si>
  <si>
    <t>Enugu</t>
  </si>
  <si>
    <t>Edo</t>
  </si>
  <si>
    <t>Ogun</t>
  </si>
  <si>
    <t>Kano</t>
  </si>
  <si>
    <t>Lagos</t>
  </si>
  <si>
    <t>Abuja</t>
  </si>
  <si>
    <t>Rivers</t>
  </si>
  <si>
    <t>Furniture</t>
  </si>
  <si>
    <t>Office Supplies</t>
  </si>
  <si>
    <t>Electronics</t>
  </si>
  <si>
    <t>Sofas</t>
  </si>
  <si>
    <t>Shelves</t>
  </si>
  <si>
    <t>Paper</t>
  </si>
  <si>
    <t>Tables</t>
  </si>
  <si>
    <t>Chairs</t>
  </si>
  <si>
    <t>Cabinets</t>
  </si>
  <si>
    <t>Accessories</t>
  </si>
  <si>
    <t>Staplers</t>
  </si>
  <si>
    <t>Phones</t>
  </si>
  <si>
    <t>TV</t>
  </si>
  <si>
    <t>Laptops</t>
  </si>
  <si>
    <t>Pens</t>
  </si>
  <si>
    <t>Sofas - Goal</t>
  </si>
  <si>
    <t>Shelves - Success</t>
  </si>
  <si>
    <t>Paper - Couple</t>
  </si>
  <si>
    <t>Tables - Oil</t>
  </si>
  <si>
    <t>Paper - Child</t>
  </si>
  <si>
    <t>Chairs - Class</t>
  </si>
  <si>
    <t>Chairs - Include</t>
  </si>
  <si>
    <t>Shelves - Hope</t>
  </si>
  <si>
    <t>Cabinets - Available</t>
  </si>
  <si>
    <t>Paper - Among</t>
  </si>
  <si>
    <t>Accessories - Do</t>
  </si>
  <si>
    <t>Accessories - Care</t>
  </si>
  <si>
    <t>Sofas - Herself</t>
  </si>
  <si>
    <t>Accessories - Worker</t>
  </si>
  <si>
    <t>Cabinets - While</t>
  </si>
  <si>
    <t>Staplers - Now</t>
  </si>
  <si>
    <t>Cabinets - Husband</t>
  </si>
  <si>
    <t>Phones - Join</t>
  </si>
  <si>
    <t>Shelves - Bank</t>
  </si>
  <si>
    <t>Shelves - Born</t>
  </si>
  <si>
    <t>Shelves - Consider</t>
  </si>
  <si>
    <t>Shelves - Special</t>
  </si>
  <si>
    <t>Shelves - Film</t>
  </si>
  <si>
    <t>Accessories - Power</t>
  </si>
  <si>
    <t>TV - Rather</t>
  </si>
  <si>
    <t>Phones - With</t>
  </si>
  <si>
    <t>Cabinets - Peace</t>
  </si>
  <si>
    <t>Phones - Human</t>
  </si>
  <si>
    <t>Accessories - Country</t>
  </si>
  <si>
    <t>Cabinets - Card</t>
  </si>
  <si>
    <t>Laptops - The</t>
  </si>
  <si>
    <t>Shelves - Plan</t>
  </si>
  <si>
    <t>Staplers - Discussion</t>
  </si>
  <si>
    <t>Tables - Glass</t>
  </si>
  <si>
    <t>Paper - Believe</t>
  </si>
  <si>
    <t>Chairs - Power</t>
  </si>
  <si>
    <t>Tables - Either</t>
  </si>
  <si>
    <t>Phones - Nature</t>
  </si>
  <si>
    <t>Accessories - Language</t>
  </si>
  <si>
    <t>Laptops - Exactly</t>
  </si>
  <si>
    <t>Staplers - Dream</t>
  </si>
  <si>
    <t>Cabinets - Chance</t>
  </si>
  <si>
    <t>Accessories - Maybe</t>
  </si>
  <si>
    <t>Phones - That</t>
  </si>
  <si>
    <t>TV - Project</t>
  </si>
  <si>
    <t>Paper - Year</t>
  </si>
  <si>
    <t>TV - Third</t>
  </si>
  <si>
    <t>Cabinets - One</t>
  </si>
  <si>
    <t>Chairs - Establish</t>
  </si>
  <si>
    <t>Laptops - Write</t>
  </si>
  <si>
    <t>Staplers - Right</t>
  </si>
  <si>
    <t>Cabinets - Join</t>
  </si>
  <si>
    <t>Phones - Into</t>
  </si>
  <si>
    <t>Paper - Modern</t>
  </si>
  <si>
    <t>Sofas - Father</t>
  </si>
  <si>
    <t>Pens - Including</t>
  </si>
  <si>
    <t>Tables - Drop</t>
  </si>
  <si>
    <t>Paper - Small</t>
  </si>
  <si>
    <t>Chairs - Traditional</t>
  </si>
  <si>
    <t>Staplers - Cause</t>
  </si>
  <si>
    <t>TV - People</t>
  </si>
  <si>
    <t>Shelves - Positive</t>
  </si>
  <si>
    <t>Chairs - Science</t>
  </si>
  <si>
    <t>Chairs - Wall</t>
  </si>
  <si>
    <t>Shelves - Walk</t>
  </si>
  <si>
    <t>Tables - Seem</t>
  </si>
  <si>
    <t>TV - Suggest</t>
  </si>
  <si>
    <t>TV - Upon</t>
  </si>
  <si>
    <t>Sofas - Mrs</t>
  </si>
  <si>
    <t>Staplers - Meeting</t>
  </si>
  <si>
    <t>Accessories - Brother</t>
  </si>
  <si>
    <t>Cabinets - Lead</t>
  </si>
  <si>
    <t>Accessories - Suggest</t>
  </si>
  <si>
    <t>Pens - Thought</t>
  </si>
  <si>
    <t>Staplers - Trouble</t>
  </si>
  <si>
    <t>Staplers - Event</t>
  </si>
  <si>
    <t>Sofas - South</t>
  </si>
  <si>
    <t>Cabinets - President</t>
  </si>
  <si>
    <t>Chairs - Keep</t>
  </si>
  <si>
    <t>Shelves - And</t>
  </si>
  <si>
    <t>Chairs - Claim</t>
  </si>
  <si>
    <t>Laptops - Voice</t>
  </si>
  <si>
    <t>Phones - Single</t>
  </si>
  <si>
    <t>Staplers - Rate</t>
  </si>
  <si>
    <t>Tables - Lead</t>
  </si>
  <si>
    <t>Tables - Down</t>
  </si>
  <si>
    <t>Cabinets - Around</t>
  </si>
  <si>
    <t>Chairs - Usually</t>
  </si>
  <si>
    <t>TV - Federal</t>
  </si>
  <si>
    <t>Tables - Reason</t>
  </si>
  <si>
    <t>Staplers - Apply</t>
  </si>
  <si>
    <t>Paper - Money</t>
  </si>
  <si>
    <t>Staplers - Enjoy</t>
  </si>
  <si>
    <t>Laptops - Maybe</t>
  </si>
  <si>
    <t>Chairs - Seek</t>
  </si>
  <si>
    <t>Staplers - Growth</t>
  </si>
  <si>
    <t>Pens - Worker</t>
  </si>
  <si>
    <t>Sofas - Or</t>
  </si>
  <si>
    <t>Phones - Rule</t>
  </si>
  <si>
    <t>Laptops - Real</t>
  </si>
  <si>
    <t>Shelves - Long</t>
  </si>
  <si>
    <t>Tables - Would</t>
  </si>
  <si>
    <t>Staplers - Market</t>
  </si>
  <si>
    <t>Shelves - Expect</t>
  </si>
  <si>
    <t>TV - Back</t>
  </si>
  <si>
    <t>Chairs - Budget</t>
  </si>
  <si>
    <t>Cabinets - Just</t>
  </si>
  <si>
    <t>Accessories - Her</t>
  </si>
  <si>
    <t>TV - Give</t>
  </si>
  <si>
    <t>Accessories - Ten</t>
  </si>
  <si>
    <t>Laptops - General</t>
  </si>
  <si>
    <t>Sofas - Agreement</t>
  </si>
  <si>
    <t>TV - Available</t>
  </si>
  <si>
    <t>Cabinets - Structure</t>
  </si>
  <si>
    <t>Paper - Wife</t>
  </si>
  <si>
    <t>Sofas - Short</t>
  </si>
  <si>
    <t>Staplers - Beautiful</t>
  </si>
  <si>
    <t>TV - Push</t>
  </si>
  <si>
    <t>Tables - Fast</t>
  </si>
  <si>
    <t>Laptops - Table</t>
  </si>
  <si>
    <t>Cabinets - Debate</t>
  </si>
  <si>
    <t>TV - Authority</t>
  </si>
  <si>
    <t>Laptops - Series</t>
  </si>
  <si>
    <t>Sofas - Husband</t>
  </si>
  <si>
    <t>Pens - Serve</t>
  </si>
  <si>
    <t>Sofas - Trip</t>
  </si>
  <si>
    <t>TV - While</t>
  </si>
  <si>
    <t>Laptops - Pattern</t>
  </si>
  <si>
    <t>Chairs - Standard</t>
  </si>
  <si>
    <t>Sofas - Wife</t>
  </si>
  <si>
    <t>Pens - Apply</t>
  </si>
  <si>
    <t>Laptops - Again</t>
  </si>
  <si>
    <t>Tables - Matter</t>
  </si>
  <si>
    <t>Sofas - Born</t>
  </si>
  <si>
    <t>Shelves - Compare</t>
  </si>
  <si>
    <t>Paper - Section</t>
  </si>
  <si>
    <t>Cabinets - Local</t>
  </si>
  <si>
    <t>Pens - Actually</t>
  </si>
  <si>
    <t>Shelves - Dark</t>
  </si>
  <si>
    <t>Paper - Position</t>
  </si>
  <si>
    <t>Chairs - Really</t>
  </si>
  <si>
    <t>Sofas - Fight</t>
  </si>
  <si>
    <t>Tables - About</t>
  </si>
  <si>
    <t>TV - Central</t>
  </si>
  <si>
    <t>Shelves - Figure</t>
  </si>
  <si>
    <t>Staplers - Toward</t>
  </si>
  <si>
    <t>Tables - Top</t>
  </si>
  <si>
    <t>Pens - Cup</t>
  </si>
  <si>
    <t>Paper - Expert</t>
  </si>
  <si>
    <t>Pens - Other</t>
  </si>
  <si>
    <t>Cabinets - Reason</t>
  </si>
  <si>
    <t>Accessories - Offer</t>
  </si>
  <si>
    <t>Paper - Mr</t>
  </si>
  <si>
    <t>TV - Adult</t>
  </si>
  <si>
    <t>Paper - Be</t>
  </si>
  <si>
    <t>Laptops - Act</t>
  </si>
  <si>
    <t>Shelves - Toward</t>
  </si>
  <si>
    <t>TV - Purpose</t>
  </si>
  <si>
    <t>Cabinets - Form</t>
  </si>
  <si>
    <t>Pens - Exist</t>
  </si>
  <si>
    <t>Cabinets - South</t>
  </si>
  <si>
    <t>Tables - Phone</t>
  </si>
  <si>
    <t>Phones - Force</t>
  </si>
  <si>
    <t>Paper - Since</t>
  </si>
  <si>
    <t>Shelves - Eye</t>
  </si>
  <si>
    <t>Tables - Maybe</t>
  </si>
  <si>
    <t>Phones - For</t>
  </si>
  <si>
    <t>Staplers - Doctor</t>
  </si>
  <si>
    <t>Phones - Cause</t>
  </si>
  <si>
    <t>Phones - Him</t>
  </si>
  <si>
    <t>Laptops - Of</t>
  </si>
  <si>
    <t>TV - Star</t>
  </si>
  <si>
    <t>Chairs - Process</t>
  </si>
  <si>
    <t>Tables - Song</t>
  </si>
  <si>
    <t>Cabinets - Finally</t>
  </si>
  <si>
    <t>Accessories - Fill</t>
  </si>
  <si>
    <t>Sofas - Picture</t>
  </si>
  <si>
    <t>Accessories - Act</t>
  </si>
  <si>
    <t>Cabinets - Choose</t>
  </si>
  <si>
    <t>TV - Effort</t>
  </si>
  <si>
    <t>Tables - Pass</t>
  </si>
  <si>
    <t>Paper - Still</t>
  </si>
  <si>
    <t>Phones - Agent</t>
  </si>
  <si>
    <t>Shelves - Usually</t>
  </si>
  <si>
    <t>Accessories - Fact</t>
  </si>
  <si>
    <t>Laptops - Fact</t>
  </si>
  <si>
    <t>TV - Different</t>
  </si>
  <si>
    <t>Laptops - Water</t>
  </si>
  <si>
    <t>Tables - Strong</t>
  </si>
  <si>
    <t>Cabinets - Young</t>
  </si>
  <si>
    <t>Chairs - Campaign</t>
  </si>
  <si>
    <t>Accessories - Range</t>
  </si>
  <si>
    <t>Cabinets - Explain</t>
  </si>
  <si>
    <t>Sofas - Able</t>
  </si>
  <si>
    <t>Sofas - Bit</t>
  </si>
  <si>
    <t>Accessories - Happen</t>
  </si>
  <si>
    <t>Staplers - Young</t>
  </si>
  <si>
    <t>Accessories - Toward</t>
  </si>
  <si>
    <t>Shelves - Put</t>
  </si>
  <si>
    <t>Paper - Street</t>
  </si>
  <si>
    <t>Pens - Manager</t>
  </si>
  <si>
    <t>Tables - Standard</t>
  </si>
  <si>
    <t>Shelves - Happy</t>
  </si>
  <si>
    <t>Staplers - Concern</t>
  </si>
  <si>
    <t>Pens - Attention</t>
  </si>
  <si>
    <t>Shelves - Worry</t>
  </si>
  <si>
    <t>Accessories - Participant</t>
  </si>
  <si>
    <t>Chairs - Lawyer</t>
  </si>
  <si>
    <t>Phones - Across</t>
  </si>
  <si>
    <t>Laptops - Especially</t>
  </si>
  <si>
    <t>Paper - Model</t>
  </si>
  <si>
    <t>Phones - Economy</t>
  </si>
  <si>
    <t>Pens - West</t>
  </si>
  <si>
    <t>Staplers - Certain</t>
  </si>
  <si>
    <t>Phones - Movement</t>
  </si>
  <si>
    <t>Shelves - Summer</t>
  </si>
  <si>
    <t>Paper - Onto</t>
  </si>
  <si>
    <t>Shelves - Great</t>
  </si>
  <si>
    <t>Accessories - Too</t>
  </si>
  <si>
    <t>TV - Final</t>
  </si>
  <si>
    <t>Tables - Goal</t>
  </si>
  <si>
    <t>TV - Nature</t>
  </si>
  <si>
    <t>Chairs - Bit</t>
  </si>
  <si>
    <t>TV - Heavy</t>
  </si>
  <si>
    <t>Chairs - For</t>
  </si>
  <si>
    <t>Accessories - Staff</t>
  </si>
  <si>
    <t>Cabinets - Magazine</t>
  </si>
  <si>
    <t>Sofas - Commercial</t>
  </si>
  <si>
    <t>Paper - Take</t>
  </si>
  <si>
    <t>Staplers - Drive</t>
  </si>
  <si>
    <t>Laptops - Everyone</t>
  </si>
  <si>
    <t>Chairs - Either</t>
  </si>
  <si>
    <t>Laptops - Improve</t>
  </si>
  <si>
    <t>Staplers - Simply</t>
  </si>
  <si>
    <t>Sofas - Growth</t>
  </si>
  <si>
    <t>Sofas - Thus</t>
  </si>
  <si>
    <t>Pens - Series</t>
  </si>
  <si>
    <t>Staplers - Purpose</t>
  </si>
  <si>
    <t>Cabinets - Hair</t>
  </si>
  <si>
    <t>Laptops - Wish</t>
  </si>
  <si>
    <t>Tables - Worry</t>
  </si>
  <si>
    <t>Pens - Summer</t>
  </si>
  <si>
    <t>Sofas - Pay</t>
  </si>
  <si>
    <t>Chairs - Bad</t>
  </si>
  <si>
    <t>Shelves - Region</t>
  </si>
  <si>
    <t>Pens - Lose</t>
  </si>
  <si>
    <t>Accessories - Former</t>
  </si>
  <si>
    <t>TV - Air</t>
  </si>
  <si>
    <t>Shelves - Address</t>
  </si>
  <si>
    <t>Pens - Compare</t>
  </si>
  <si>
    <t>Staplers - Maintain</t>
  </si>
  <si>
    <t>Laptops - Consider</t>
  </si>
  <si>
    <t>Accessories - System</t>
  </si>
  <si>
    <t>TV - Political</t>
  </si>
  <si>
    <t>TV - Important</t>
  </si>
  <si>
    <t>Shelves - Home</t>
  </si>
  <si>
    <t>Cabinets - Billion</t>
  </si>
  <si>
    <t>Phones - College</t>
  </si>
  <si>
    <t>Laptops - Century</t>
  </si>
  <si>
    <t>Staplers - May</t>
  </si>
  <si>
    <t>Phones - Option</t>
  </si>
  <si>
    <t>Shelves - Account</t>
  </si>
  <si>
    <t>Tables - He</t>
  </si>
  <si>
    <t>Tables - Common</t>
  </si>
  <si>
    <t>Laptops - Catch</t>
  </si>
  <si>
    <t>TV - Study</t>
  </si>
  <si>
    <t>Pens - Poor</t>
  </si>
  <si>
    <t>Pens - Again</t>
  </si>
  <si>
    <t>Chairs - Size</t>
  </si>
  <si>
    <t>TV - Name</t>
  </si>
  <si>
    <t>Accessories - Operation</t>
  </si>
  <si>
    <t>Chairs - Necessary</t>
  </si>
  <si>
    <t>TV - Huge</t>
  </si>
  <si>
    <t>Laptops - Paper</t>
  </si>
  <si>
    <t>Tables - Much</t>
  </si>
  <si>
    <t>Chairs - Follow</t>
  </si>
  <si>
    <t>Tables - Play</t>
  </si>
  <si>
    <t>Phones - Body</t>
  </si>
  <si>
    <t>Staplers - Improve</t>
  </si>
  <si>
    <t>Tables - Stay</t>
  </si>
  <si>
    <t>TV - Style</t>
  </si>
  <si>
    <t>Laptops - Company</t>
  </si>
  <si>
    <t>Sofas - The</t>
  </si>
  <si>
    <t>Accessories - Us</t>
  </si>
  <si>
    <t>Cabinets - Event</t>
  </si>
  <si>
    <t>Paper - Person</t>
  </si>
  <si>
    <t>Staplers - Fire</t>
  </si>
  <si>
    <t>Shelves - Happen</t>
  </si>
  <si>
    <t>Paper - Particular</t>
  </si>
  <si>
    <t>Tables - Four</t>
  </si>
  <si>
    <t>Paper - Develop</t>
  </si>
  <si>
    <t>Laptops - Animal</t>
  </si>
  <si>
    <t>Accessories - Top</t>
  </si>
  <si>
    <t>Shelves - Assume</t>
  </si>
  <si>
    <t>TV - There</t>
  </si>
  <si>
    <t>TV - Teach</t>
  </si>
  <si>
    <t>Paper - Similar</t>
  </si>
  <si>
    <t>TV - Of</t>
  </si>
  <si>
    <t>Sum of Sales</t>
  </si>
  <si>
    <t>Sum of Profit</t>
  </si>
  <si>
    <t>Row Labels</t>
  </si>
  <si>
    <t>Grand Total</t>
  </si>
  <si>
    <t>Column Labels</t>
  </si>
  <si>
    <t>Profile by year</t>
  </si>
  <si>
    <t>sales by sub categores</t>
  </si>
  <si>
    <t>top 10 customer profits</t>
  </si>
  <si>
    <t>Month2</t>
  </si>
  <si>
    <t>Month.</t>
  </si>
  <si>
    <t>January</t>
  </si>
  <si>
    <t>February</t>
  </si>
  <si>
    <t>March</t>
  </si>
  <si>
    <t>April</t>
  </si>
  <si>
    <t>May</t>
  </si>
  <si>
    <t>June</t>
  </si>
  <si>
    <t>July</t>
  </si>
  <si>
    <t>August</t>
  </si>
  <si>
    <t>September</t>
  </si>
  <si>
    <t>October</t>
  </si>
  <si>
    <t>November</t>
  </si>
  <si>
    <t>December</t>
  </si>
  <si>
    <t>sales by month</t>
  </si>
  <si>
    <t>sales by state</t>
  </si>
  <si>
    <t>Monthly Trends</t>
  </si>
  <si>
    <t>(2024 vs 2025)</t>
  </si>
  <si>
    <t>suv-cat</t>
  </si>
  <si>
    <t>sales</t>
  </si>
  <si>
    <t xml:space="preserve">SALES BY 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</si>
</sst>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469]\ #,##0"/>
  </numFmts>
  <fonts count="3" x14ac:knownFonts="1">
    <font>
      <sz val="11"/>
      <color theme="1"/>
      <name val="Calibri"/>
      <family val="2"/>
      <scheme val="minor"/>
    </font>
    <font>
      <b/>
      <sz val="11"/>
      <color theme="1"/>
      <name val="Calibri"/>
      <family val="2"/>
      <scheme val="minor"/>
    </font>
    <font>
      <b/>
      <sz val="14"/>
      <color rgb="FFEEECE1"/>
      <name val="Aptos"/>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169" fontId="0" fillId="0" borderId="0" xfId="0" applyNumberFormat="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2" fillId="0" borderId="0" xfId="0" applyFont="1" applyAlignment="1">
      <alignment horizontal="center" vertical="center" readingOrder="1"/>
    </xf>
  </cellXfs>
  <cellStyles count="1">
    <cellStyle name="Normal" xfId="0" builtinId="0"/>
  </cellStyles>
  <dxfs count="13">
    <dxf>
      <numFmt numFmtId="169" formatCode="[$₦-469]\ #,##0"/>
    </dxf>
    <dxf>
      <numFmt numFmtId="169" formatCode="[$₦-469]\ #,##0"/>
    </dxf>
    <dxf>
      <numFmt numFmtId="169" formatCode="[$₦-469]\ #,##0"/>
    </dxf>
    <dxf>
      <numFmt numFmtId="169" formatCode="[$₦-469]\ #,##0"/>
    </dxf>
    <dxf>
      <numFmt numFmtId="169" formatCode="[$₦-469]\ #,##0"/>
    </dxf>
    <dxf>
      <numFmt numFmtId="169" formatCode="[$₦-469]\ #,##0"/>
    </dxf>
    <dxf>
      <numFmt numFmtId="169" formatCode="[$₦-469]\ #,##0"/>
    </dxf>
    <dxf>
      <numFmt numFmtId="169" formatCode="[$₦-469]\ #,##0"/>
    </dxf>
    <dxf>
      <numFmt numFmtId="169" formatCode="[$₦-469]\ #,##0"/>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colors>
    <mruColors>
      <color rgb="FF160773"/>
      <color rgb="FF110471"/>
      <color rgb="FF0D04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Sales 2024 &amp; 2025.xlsx]PIVOT TABLE!PivotTable30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TABLE'!$S$3:$S$4</c:f>
              <c:strCache>
                <c:ptCount val="1"/>
                <c:pt idx="0">
                  <c:v>2024</c:v>
                </c:pt>
              </c:strCache>
            </c:strRef>
          </c:tx>
          <c:spPr>
            <a:ln w="28575" cap="rnd">
              <a:solidFill>
                <a:schemeClr val="accent1"/>
              </a:solidFill>
              <a:round/>
            </a:ln>
            <a:effectLst/>
          </c:spPr>
          <c:marker>
            <c:symbol val="none"/>
          </c:marker>
          <c:cat>
            <c:strRef>
              <c:f>'PIVOT TABLE'!$R$5:$R$17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TABLE'!$S$5:$S$17</c:f>
              <c:numCache>
                <c:formatCode>[$₦-469]\ #,##0</c:formatCode>
                <c:ptCount val="12"/>
                <c:pt idx="0">
                  <c:v>4133472.5999999996</c:v>
                </c:pt>
                <c:pt idx="1">
                  <c:v>1192719.75</c:v>
                </c:pt>
                <c:pt idx="2">
                  <c:v>3200324.96</c:v>
                </c:pt>
                <c:pt idx="3">
                  <c:v>2168045.58</c:v>
                </c:pt>
                <c:pt idx="4">
                  <c:v>2695392.6</c:v>
                </c:pt>
                <c:pt idx="5">
                  <c:v>2107059.12</c:v>
                </c:pt>
                <c:pt idx="6">
                  <c:v>4007801.9000000004</c:v>
                </c:pt>
                <c:pt idx="7">
                  <c:v>3049364.5999999996</c:v>
                </c:pt>
                <c:pt idx="8">
                  <c:v>2615102.7000000002</c:v>
                </c:pt>
                <c:pt idx="9">
                  <c:v>4045846.82</c:v>
                </c:pt>
                <c:pt idx="10">
                  <c:v>3612293.87</c:v>
                </c:pt>
                <c:pt idx="11">
                  <c:v>3667057.2800000003</c:v>
                </c:pt>
              </c:numCache>
            </c:numRef>
          </c:val>
          <c:smooth val="0"/>
          <c:extLst>
            <c:ext xmlns:c16="http://schemas.microsoft.com/office/drawing/2014/chart" uri="{C3380CC4-5D6E-409C-BE32-E72D297353CC}">
              <c16:uniqueId val="{00000000-D11E-4E0D-8B1C-86408490DA47}"/>
            </c:ext>
          </c:extLst>
        </c:ser>
        <c:ser>
          <c:idx val="1"/>
          <c:order val="1"/>
          <c:tx>
            <c:strRef>
              <c:f>'PIVOT TABLE'!$T$3:$T$4</c:f>
              <c:strCache>
                <c:ptCount val="1"/>
                <c:pt idx="0">
                  <c:v>2025</c:v>
                </c:pt>
              </c:strCache>
            </c:strRef>
          </c:tx>
          <c:spPr>
            <a:ln w="28575" cap="rnd">
              <a:solidFill>
                <a:schemeClr val="accent2"/>
              </a:solidFill>
              <a:round/>
            </a:ln>
            <a:effectLst/>
          </c:spPr>
          <c:marker>
            <c:symbol val="none"/>
          </c:marker>
          <c:cat>
            <c:strRef>
              <c:f>'PIVOT TABLE'!$R$5:$R$17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TABLE'!$T$5:$T$17</c:f>
              <c:numCache>
                <c:formatCode>[$₦-469]\ #,##0</c:formatCode>
                <c:ptCount val="12"/>
                <c:pt idx="0">
                  <c:v>3739232.18</c:v>
                </c:pt>
                <c:pt idx="1">
                  <c:v>1504859.2700000003</c:v>
                </c:pt>
                <c:pt idx="2">
                  <c:v>3858260.25</c:v>
                </c:pt>
                <c:pt idx="3">
                  <c:v>3997842.7299999995</c:v>
                </c:pt>
                <c:pt idx="4">
                  <c:v>2253193.02</c:v>
                </c:pt>
                <c:pt idx="5">
                  <c:v>1363430.44</c:v>
                </c:pt>
                <c:pt idx="6">
                  <c:v>5222022.04</c:v>
                </c:pt>
                <c:pt idx="7">
                  <c:v>3337309.54</c:v>
                </c:pt>
                <c:pt idx="8">
                  <c:v>4630052.78</c:v>
                </c:pt>
                <c:pt idx="9">
                  <c:v>5031357.51</c:v>
                </c:pt>
                <c:pt idx="10">
                  <c:v>2493562.81</c:v>
                </c:pt>
                <c:pt idx="11">
                  <c:v>2249120.5</c:v>
                </c:pt>
              </c:numCache>
            </c:numRef>
          </c:val>
          <c:smooth val="0"/>
          <c:extLst>
            <c:ext xmlns:c16="http://schemas.microsoft.com/office/drawing/2014/chart" uri="{C3380CC4-5D6E-409C-BE32-E72D297353CC}">
              <c16:uniqueId val="{00000003-D11E-4E0D-8B1C-86408490DA47}"/>
            </c:ext>
          </c:extLst>
        </c:ser>
        <c:dLbls>
          <c:showLegendKey val="0"/>
          <c:showVal val="0"/>
          <c:showCatName val="0"/>
          <c:showSerName val="0"/>
          <c:showPercent val="0"/>
          <c:showBubbleSize val="0"/>
        </c:dLbls>
        <c:smooth val="0"/>
        <c:axId val="1059506351"/>
        <c:axId val="1059500111"/>
      </c:lineChart>
      <c:catAx>
        <c:axId val="105950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500111"/>
        <c:crosses val="autoZero"/>
        <c:auto val="1"/>
        <c:lblAlgn val="ctr"/>
        <c:lblOffset val="100"/>
        <c:noMultiLvlLbl val="0"/>
      </c:catAx>
      <c:valAx>
        <c:axId val="1059500111"/>
        <c:scaling>
          <c:orientation val="minMax"/>
        </c:scaling>
        <c:delete val="0"/>
        <c:axPos val="l"/>
        <c:majorGridlines>
          <c:spPr>
            <a:ln w="9525" cap="flat" cmpd="sng" algn="ctr">
              <a:solidFill>
                <a:schemeClr val="tx1">
                  <a:lumMod val="15000"/>
                  <a:lumOff val="85000"/>
                </a:schemeClr>
              </a:solidFill>
              <a:round/>
            </a:ln>
            <a:effectLst/>
          </c:spPr>
        </c:majorGridlines>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50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Sales 2024 &amp; 2025.xlsx]PIVOT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2"/>
                </a:solidFill>
                <a:effectLst/>
                <a:latin typeface="Aptos" panose="020B0004020202020204" pitchFamily="34" charset="0"/>
              </a:rPr>
              <a:t>SALES BY MONTH </a:t>
            </a:r>
            <a:endParaRPr lang="en-US" b="1">
              <a:solidFill>
                <a:schemeClr val="bg2"/>
              </a:solidFill>
              <a:latin typeface="Aptos" panose="020B0004020202020204" pitchFamily="34" charset="0"/>
            </a:endParaRPr>
          </a:p>
        </c:rich>
      </c:tx>
      <c:layout>
        <c:manualLayout>
          <c:xMode val="edge"/>
          <c:yMode val="edge"/>
          <c:x val="0.25892117467617431"/>
          <c:y val="1.6297262059973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pivotFmt>
    </c:pivotFmts>
    <c:plotArea>
      <c:layout>
        <c:manualLayout>
          <c:layoutTarget val="inner"/>
          <c:xMode val="edge"/>
          <c:yMode val="edge"/>
          <c:x val="4.9260894778764885E-2"/>
          <c:y val="0.13232719973322021"/>
          <c:w val="0.9054460435620304"/>
          <c:h val="0.57877595296578443"/>
        </c:manualLayout>
      </c:layout>
      <c:barChart>
        <c:barDir val="col"/>
        <c:grouping val="clustered"/>
        <c:varyColors val="0"/>
        <c:ser>
          <c:idx val="0"/>
          <c:order val="0"/>
          <c:tx>
            <c:strRef>
              <c:f>'PIVOT TABLE'!$B$60</c:f>
              <c:strCache>
                <c:ptCount val="1"/>
                <c:pt idx="0">
                  <c:v>Total</c:v>
                </c:pt>
              </c:strCache>
            </c:strRef>
          </c:tx>
          <c:spPr>
            <a:solidFill>
              <a:schemeClr val="accent5">
                <a:lumMod val="60000"/>
                <a:lumOff val="40000"/>
              </a:schemeClr>
            </a:solidFill>
            <a:ln>
              <a:noFill/>
            </a:ln>
            <a:effectLst/>
          </c:spPr>
          <c:invertIfNegative val="0"/>
          <c:dLbls>
            <c:delete val="1"/>
          </c:dLbls>
          <c:cat>
            <c:strRef>
              <c:f>'PIVOT TABLE'!$A$61:$A$73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TABLE'!$B$61:$B$73</c:f>
              <c:numCache>
                <c:formatCode>[$₦-469]\ #,##0</c:formatCode>
                <c:ptCount val="12"/>
                <c:pt idx="0">
                  <c:v>7872704.7800000003</c:v>
                </c:pt>
                <c:pt idx="1">
                  <c:v>2697579.02</c:v>
                </c:pt>
                <c:pt idx="2">
                  <c:v>7058585.21</c:v>
                </c:pt>
                <c:pt idx="3">
                  <c:v>6165888.3100000005</c:v>
                </c:pt>
                <c:pt idx="4">
                  <c:v>4948585.62</c:v>
                </c:pt>
                <c:pt idx="5">
                  <c:v>3470489.5600000005</c:v>
                </c:pt>
                <c:pt idx="6">
                  <c:v>9229823.9400000013</c:v>
                </c:pt>
                <c:pt idx="7">
                  <c:v>6386674.1399999997</c:v>
                </c:pt>
                <c:pt idx="8">
                  <c:v>7245155.4799999995</c:v>
                </c:pt>
                <c:pt idx="9">
                  <c:v>9077204.3299999982</c:v>
                </c:pt>
                <c:pt idx="10">
                  <c:v>6105856.6799999997</c:v>
                </c:pt>
                <c:pt idx="11">
                  <c:v>5916177.7800000003</c:v>
                </c:pt>
              </c:numCache>
            </c:numRef>
          </c:val>
          <c:extLst>
            <c:ext xmlns:c16="http://schemas.microsoft.com/office/drawing/2014/chart" uri="{C3380CC4-5D6E-409C-BE32-E72D297353CC}">
              <c16:uniqueId val="{00000000-DE01-4FD6-A404-910512392E65}"/>
            </c:ext>
          </c:extLst>
        </c:ser>
        <c:dLbls>
          <c:showLegendKey val="0"/>
          <c:showVal val="0"/>
          <c:showCatName val="0"/>
          <c:showSerName val="0"/>
          <c:showPercent val="0"/>
          <c:showBubbleSize val="0"/>
        </c:dLbls>
        <c:gapWidth val="13"/>
        <c:overlap val="-28"/>
        <c:axId val="485168495"/>
        <c:axId val="485168975"/>
      </c:barChart>
      <c:catAx>
        <c:axId val="485168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85168975"/>
        <c:crosses val="autoZero"/>
        <c:auto val="1"/>
        <c:lblAlgn val="ctr"/>
        <c:lblOffset val="100"/>
        <c:noMultiLvlLbl val="0"/>
      </c:catAx>
      <c:valAx>
        <c:axId val="485168975"/>
        <c:scaling>
          <c:orientation val="minMax"/>
        </c:scaling>
        <c:delete val="0"/>
        <c:axPos val="l"/>
        <c:numFmt formatCode="[$₦-46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8516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Sales 2024 &amp; 2025.xlsx]PIVOT TABLE!PivotTable26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2"/>
                </a:solidFill>
                <a:effectLst/>
                <a:latin typeface="Aptos" panose="020B0004020202020204" pitchFamily="34" charset="0"/>
              </a:rPr>
              <a:t>TOP 5 CUSTOMER PROFITS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33607779109243813"/>
          <c:y val="0.19964658573564359"/>
          <c:w val="0.56197674981096679"/>
          <c:h val="0.75034144520571677"/>
        </c:manualLayout>
      </c:layout>
      <c:barChart>
        <c:barDir val="bar"/>
        <c:grouping val="clustered"/>
        <c:varyColors val="0"/>
        <c:ser>
          <c:idx val="0"/>
          <c:order val="0"/>
          <c:tx>
            <c:strRef>
              <c:f>'PIVOT TABLE'!$B$45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A78-40D6-8313-34B2354FBCA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A78-40D6-8313-34B2354FBCA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A78-40D6-8313-34B2354FBCA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A78-40D6-8313-34B2354FBCA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EA78-40D6-8313-34B2354FBC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TABLE'!$A$46:$A$51</c:f>
              <c:strCache>
                <c:ptCount val="5"/>
                <c:pt idx="0">
                  <c:v>Jonathan Richards</c:v>
                </c:pt>
                <c:pt idx="1">
                  <c:v>Kimberly Roberts</c:v>
                </c:pt>
                <c:pt idx="2">
                  <c:v>Jeff Stewart</c:v>
                </c:pt>
                <c:pt idx="3">
                  <c:v>Peter Neal</c:v>
                </c:pt>
                <c:pt idx="4">
                  <c:v>Brittany Hebert</c:v>
                </c:pt>
              </c:strCache>
            </c:strRef>
          </c:cat>
          <c:val>
            <c:numRef>
              <c:f>'PIVOT TABLE'!$B$46:$B$51</c:f>
              <c:numCache>
                <c:formatCode>[$₦-469]\ #,##0</c:formatCode>
                <c:ptCount val="5"/>
                <c:pt idx="0">
                  <c:v>102606.63</c:v>
                </c:pt>
                <c:pt idx="1">
                  <c:v>107897.1</c:v>
                </c:pt>
                <c:pt idx="2">
                  <c:v>108957.54</c:v>
                </c:pt>
                <c:pt idx="3">
                  <c:v>114862.71</c:v>
                </c:pt>
                <c:pt idx="4">
                  <c:v>114890.12</c:v>
                </c:pt>
              </c:numCache>
            </c:numRef>
          </c:val>
          <c:extLst>
            <c:ext xmlns:c16="http://schemas.microsoft.com/office/drawing/2014/chart" uri="{C3380CC4-5D6E-409C-BE32-E72D297353CC}">
              <c16:uniqueId val="{0000000A-EA78-40D6-8313-34B2354FBCA8}"/>
            </c:ext>
          </c:extLst>
        </c:ser>
        <c:dLbls>
          <c:dLblPos val="outEnd"/>
          <c:showLegendKey val="0"/>
          <c:showVal val="1"/>
          <c:showCatName val="0"/>
          <c:showSerName val="0"/>
          <c:showPercent val="0"/>
          <c:showBubbleSize val="0"/>
        </c:dLbls>
        <c:gapWidth val="32"/>
        <c:overlap val="-3"/>
        <c:axId val="1309443807"/>
        <c:axId val="1309450527"/>
      </c:barChart>
      <c:valAx>
        <c:axId val="1309450527"/>
        <c:scaling>
          <c:orientation val="minMax"/>
        </c:scaling>
        <c:delete val="1"/>
        <c:axPos val="b"/>
        <c:numFmt formatCode="[$₦-469]\ #,##0" sourceLinked="1"/>
        <c:majorTickMark val="out"/>
        <c:minorTickMark val="none"/>
        <c:tickLblPos val="nextTo"/>
        <c:crossAx val="1309443807"/>
        <c:crossBetween val="between"/>
      </c:valAx>
      <c:catAx>
        <c:axId val="1309443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30945052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Sales 2024 &amp; 2025.xlsx]PIVOT TABLE!PivotTable24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2"/>
                </a:solidFill>
                <a:effectLst/>
                <a:latin typeface="Aptos" panose="020B0004020202020204" pitchFamily="34" charset="0"/>
              </a:rPr>
              <a:t>PROFITS BY YEAR </a:t>
            </a:r>
            <a:endParaRPr lang="en-US" sz="1600" b="1">
              <a:solidFill>
                <a:schemeClr val="bg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26512560377403"/>
          <c:y val="0.19549058078512072"/>
          <c:w val="0.3880258800532464"/>
          <c:h val="0.62375840968461915"/>
        </c:manualLayout>
      </c:layout>
      <c:barChart>
        <c:barDir val="col"/>
        <c:grouping val="clustered"/>
        <c:varyColors val="0"/>
        <c:ser>
          <c:idx val="0"/>
          <c:order val="0"/>
          <c:tx>
            <c:strRef>
              <c:f>'PIVOT TABLE'!$B$21:$B$22</c:f>
              <c:strCache>
                <c:ptCount val="1"/>
                <c:pt idx="0">
                  <c:v>Electronics</c:v>
                </c:pt>
              </c:strCache>
            </c:strRef>
          </c:tx>
          <c:spPr>
            <a:solidFill>
              <a:schemeClr val="accent1"/>
            </a:solidFill>
            <a:ln>
              <a:noFill/>
            </a:ln>
            <a:effectLst/>
          </c:spPr>
          <c:invertIfNegative val="0"/>
          <c:cat>
            <c:strRef>
              <c:f>'PIVOT TABLE'!$A$23:$A$25</c:f>
              <c:strCache>
                <c:ptCount val="2"/>
                <c:pt idx="0">
                  <c:v>2024</c:v>
                </c:pt>
                <c:pt idx="1">
                  <c:v>2025</c:v>
                </c:pt>
              </c:strCache>
            </c:strRef>
          </c:cat>
          <c:val>
            <c:numRef>
              <c:f>'PIVOT TABLE'!$B$23:$B$25</c:f>
              <c:numCache>
                <c:formatCode>[$₦-469]\ #,##0</c:formatCode>
                <c:ptCount val="2"/>
                <c:pt idx="0">
                  <c:v>2247467.52</c:v>
                </c:pt>
                <c:pt idx="1">
                  <c:v>1799076.6</c:v>
                </c:pt>
              </c:numCache>
            </c:numRef>
          </c:val>
          <c:extLst>
            <c:ext xmlns:c16="http://schemas.microsoft.com/office/drawing/2014/chart" uri="{C3380CC4-5D6E-409C-BE32-E72D297353CC}">
              <c16:uniqueId val="{00000000-122A-4F8A-B862-BF8A9DA494FD}"/>
            </c:ext>
          </c:extLst>
        </c:ser>
        <c:ser>
          <c:idx val="1"/>
          <c:order val="1"/>
          <c:tx>
            <c:strRef>
              <c:f>'PIVOT TABLE'!$C$21:$C$22</c:f>
              <c:strCache>
                <c:ptCount val="1"/>
                <c:pt idx="0">
                  <c:v>Furniture</c:v>
                </c:pt>
              </c:strCache>
            </c:strRef>
          </c:tx>
          <c:spPr>
            <a:solidFill>
              <a:schemeClr val="accent2"/>
            </a:solidFill>
            <a:ln>
              <a:noFill/>
            </a:ln>
            <a:effectLst/>
          </c:spPr>
          <c:invertIfNegative val="0"/>
          <c:cat>
            <c:strRef>
              <c:f>'PIVOT TABLE'!$A$23:$A$25</c:f>
              <c:strCache>
                <c:ptCount val="2"/>
                <c:pt idx="0">
                  <c:v>2024</c:v>
                </c:pt>
                <c:pt idx="1">
                  <c:v>2025</c:v>
                </c:pt>
              </c:strCache>
            </c:strRef>
          </c:cat>
          <c:val>
            <c:numRef>
              <c:f>'PIVOT TABLE'!$C$23:$C$25</c:f>
              <c:numCache>
                <c:formatCode>[$₦-469]\ #,##0</c:formatCode>
                <c:ptCount val="2"/>
                <c:pt idx="0">
                  <c:v>1711870.1499999994</c:v>
                </c:pt>
                <c:pt idx="1">
                  <c:v>2151177.7400000002</c:v>
                </c:pt>
              </c:numCache>
            </c:numRef>
          </c:val>
          <c:extLst>
            <c:ext xmlns:c16="http://schemas.microsoft.com/office/drawing/2014/chart" uri="{C3380CC4-5D6E-409C-BE32-E72D297353CC}">
              <c16:uniqueId val="{00000004-122A-4F8A-B862-BF8A9DA494FD}"/>
            </c:ext>
          </c:extLst>
        </c:ser>
        <c:ser>
          <c:idx val="2"/>
          <c:order val="2"/>
          <c:tx>
            <c:strRef>
              <c:f>'PIVOT TABLE'!$D$21:$D$22</c:f>
              <c:strCache>
                <c:ptCount val="1"/>
                <c:pt idx="0">
                  <c:v>Office Supplies</c:v>
                </c:pt>
              </c:strCache>
            </c:strRef>
          </c:tx>
          <c:spPr>
            <a:solidFill>
              <a:schemeClr val="accent3"/>
            </a:solidFill>
            <a:ln>
              <a:noFill/>
            </a:ln>
            <a:effectLst/>
          </c:spPr>
          <c:invertIfNegative val="0"/>
          <c:cat>
            <c:strRef>
              <c:f>'PIVOT TABLE'!$A$23:$A$25</c:f>
              <c:strCache>
                <c:ptCount val="2"/>
                <c:pt idx="0">
                  <c:v>2024</c:v>
                </c:pt>
                <c:pt idx="1">
                  <c:v>2025</c:v>
                </c:pt>
              </c:strCache>
            </c:strRef>
          </c:cat>
          <c:val>
            <c:numRef>
              <c:f>'PIVOT TABLE'!$D$23:$D$25</c:f>
              <c:numCache>
                <c:formatCode>[$₦-469]\ #,##0</c:formatCode>
                <c:ptCount val="2"/>
                <c:pt idx="0">
                  <c:v>1727482.54</c:v>
                </c:pt>
                <c:pt idx="1">
                  <c:v>2138808.71</c:v>
                </c:pt>
              </c:numCache>
            </c:numRef>
          </c:val>
          <c:extLst>
            <c:ext xmlns:c16="http://schemas.microsoft.com/office/drawing/2014/chart" uri="{C3380CC4-5D6E-409C-BE32-E72D297353CC}">
              <c16:uniqueId val="{00000005-122A-4F8A-B862-BF8A9DA494FD}"/>
            </c:ext>
          </c:extLst>
        </c:ser>
        <c:dLbls>
          <c:showLegendKey val="0"/>
          <c:showVal val="0"/>
          <c:showCatName val="0"/>
          <c:showSerName val="0"/>
          <c:showPercent val="0"/>
          <c:showBubbleSize val="0"/>
        </c:dLbls>
        <c:gapWidth val="59"/>
        <c:overlap val="-3"/>
        <c:axId val="1134767951"/>
        <c:axId val="1134772751"/>
      </c:barChart>
      <c:catAx>
        <c:axId val="1134767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34772751"/>
        <c:crosses val="autoZero"/>
        <c:auto val="1"/>
        <c:lblAlgn val="ctr"/>
        <c:lblOffset val="100"/>
        <c:noMultiLvlLbl val="0"/>
      </c:catAx>
      <c:valAx>
        <c:axId val="1134772751"/>
        <c:scaling>
          <c:orientation val="minMax"/>
        </c:scaling>
        <c:delete val="1"/>
        <c:axPos val="l"/>
        <c:numFmt formatCode="[$₦-469]\ #,##0" sourceLinked="1"/>
        <c:majorTickMark val="out"/>
        <c:minorTickMark val="none"/>
        <c:tickLblPos val="nextTo"/>
        <c:crossAx val="113476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Sales 2024 &amp; 2025.xlsx]PIVOT TABLE!PivotTable30</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2"/>
                </a:solidFill>
                <a:effectLst/>
                <a:latin typeface="Aptos" panose="020B0004020202020204" pitchFamily="34" charset="0"/>
              </a:rPr>
              <a:t>MONTHLY TRENDS (2024 VS 2025)  </a:t>
            </a:r>
            <a:endParaRPr lang="en-US" b="1">
              <a:solidFill>
                <a:schemeClr val="bg2"/>
              </a:solidFill>
              <a:latin typeface="Aptos" panose="020B0004020202020204" pitchFamily="34" charset="0"/>
            </a:endParaRPr>
          </a:p>
        </c:rich>
      </c:tx>
      <c:layout>
        <c:manualLayout>
          <c:xMode val="edge"/>
          <c:yMode val="edge"/>
          <c:x val="0.12415241983169756"/>
          <c:y val="3.353293202364203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9139463777593E-2"/>
          <c:y val="0.21265622188668473"/>
          <c:w val="0.74645938003602241"/>
          <c:h val="0.50188451365273412"/>
        </c:manualLayout>
      </c:layout>
      <c:barChart>
        <c:barDir val="col"/>
        <c:grouping val="clustered"/>
        <c:varyColors val="0"/>
        <c:ser>
          <c:idx val="0"/>
          <c:order val="0"/>
          <c:tx>
            <c:strRef>
              <c:f>'PIVOT TABLE'!$S$3:$S$4</c:f>
              <c:strCache>
                <c:ptCount val="1"/>
                <c:pt idx="0">
                  <c:v>2024</c:v>
                </c:pt>
              </c:strCache>
            </c:strRef>
          </c:tx>
          <c:spPr>
            <a:solidFill>
              <a:schemeClr val="accent1"/>
            </a:solidFill>
            <a:ln>
              <a:noFill/>
            </a:ln>
            <a:effectLst/>
          </c:spPr>
          <c:invertIfNegative val="0"/>
          <c:cat>
            <c:strRef>
              <c:f>'PIVOT TABLE'!$R$5:$R$17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TABLE'!$S$5:$S$17</c:f>
              <c:numCache>
                <c:formatCode>[$₦-469]\ #,##0</c:formatCode>
                <c:ptCount val="12"/>
                <c:pt idx="0">
                  <c:v>4133472.5999999996</c:v>
                </c:pt>
                <c:pt idx="1">
                  <c:v>1192719.75</c:v>
                </c:pt>
                <c:pt idx="2">
                  <c:v>3200324.96</c:v>
                </c:pt>
                <c:pt idx="3">
                  <c:v>2168045.58</c:v>
                </c:pt>
                <c:pt idx="4">
                  <c:v>2695392.6</c:v>
                </c:pt>
                <c:pt idx="5">
                  <c:v>2107059.12</c:v>
                </c:pt>
                <c:pt idx="6">
                  <c:v>4007801.9000000004</c:v>
                </c:pt>
                <c:pt idx="7">
                  <c:v>3049364.5999999996</c:v>
                </c:pt>
                <c:pt idx="8">
                  <c:v>2615102.7000000002</c:v>
                </c:pt>
                <c:pt idx="9">
                  <c:v>4045846.82</c:v>
                </c:pt>
                <c:pt idx="10">
                  <c:v>3612293.87</c:v>
                </c:pt>
                <c:pt idx="11">
                  <c:v>3667057.2800000003</c:v>
                </c:pt>
              </c:numCache>
            </c:numRef>
          </c:val>
          <c:extLst>
            <c:ext xmlns:c16="http://schemas.microsoft.com/office/drawing/2014/chart" uri="{C3380CC4-5D6E-409C-BE32-E72D297353CC}">
              <c16:uniqueId val="{00000000-0A7C-4373-81DB-A7B61B6EF4BE}"/>
            </c:ext>
          </c:extLst>
        </c:ser>
        <c:ser>
          <c:idx val="1"/>
          <c:order val="1"/>
          <c:tx>
            <c:strRef>
              <c:f>'PIVOT TABLE'!$T$3:$T$4</c:f>
              <c:strCache>
                <c:ptCount val="1"/>
                <c:pt idx="0">
                  <c:v>2025</c:v>
                </c:pt>
              </c:strCache>
            </c:strRef>
          </c:tx>
          <c:spPr>
            <a:solidFill>
              <a:schemeClr val="accent2"/>
            </a:solidFill>
            <a:ln>
              <a:noFill/>
            </a:ln>
            <a:effectLst/>
          </c:spPr>
          <c:invertIfNegative val="0"/>
          <c:cat>
            <c:strRef>
              <c:f>'PIVOT TABLE'!$R$5:$R$17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TABLE'!$T$5:$T$17</c:f>
              <c:numCache>
                <c:formatCode>[$₦-469]\ #,##0</c:formatCode>
                <c:ptCount val="12"/>
                <c:pt idx="0">
                  <c:v>3739232.18</c:v>
                </c:pt>
                <c:pt idx="1">
                  <c:v>1504859.2700000003</c:v>
                </c:pt>
                <c:pt idx="2">
                  <c:v>3858260.25</c:v>
                </c:pt>
                <c:pt idx="3">
                  <c:v>3997842.7299999995</c:v>
                </c:pt>
                <c:pt idx="4">
                  <c:v>2253193.02</c:v>
                </c:pt>
                <c:pt idx="5">
                  <c:v>1363430.44</c:v>
                </c:pt>
                <c:pt idx="6">
                  <c:v>5222022.04</c:v>
                </c:pt>
                <c:pt idx="7">
                  <c:v>3337309.54</c:v>
                </c:pt>
                <c:pt idx="8">
                  <c:v>4630052.78</c:v>
                </c:pt>
                <c:pt idx="9">
                  <c:v>5031357.51</c:v>
                </c:pt>
                <c:pt idx="10">
                  <c:v>2493562.81</c:v>
                </c:pt>
                <c:pt idx="11">
                  <c:v>2249120.5</c:v>
                </c:pt>
              </c:numCache>
            </c:numRef>
          </c:val>
          <c:extLst>
            <c:ext xmlns:c16="http://schemas.microsoft.com/office/drawing/2014/chart" uri="{C3380CC4-5D6E-409C-BE32-E72D297353CC}">
              <c16:uniqueId val="{00000003-0A7C-4373-81DB-A7B61B6EF4BE}"/>
            </c:ext>
          </c:extLst>
        </c:ser>
        <c:dLbls>
          <c:showLegendKey val="0"/>
          <c:showVal val="0"/>
          <c:showCatName val="0"/>
          <c:showSerName val="0"/>
          <c:showPercent val="0"/>
          <c:showBubbleSize val="0"/>
        </c:dLbls>
        <c:gapWidth val="19"/>
        <c:overlap val="40"/>
        <c:axId val="1134757391"/>
        <c:axId val="1134772751"/>
      </c:barChart>
      <c:catAx>
        <c:axId val="113475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34772751"/>
        <c:crosses val="autoZero"/>
        <c:auto val="1"/>
        <c:lblAlgn val="ctr"/>
        <c:lblOffset val="100"/>
        <c:noMultiLvlLbl val="0"/>
      </c:catAx>
      <c:valAx>
        <c:axId val="1134772751"/>
        <c:scaling>
          <c:orientation val="minMax"/>
        </c:scaling>
        <c:delete val="1"/>
        <c:axPos val="l"/>
        <c:numFmt formatCode="[$₦-469]\ #,##0" sourceLinked="1"/>
        <c:majorTickMark val="none"/>
        <c:minorTickMark val="none"/>
        <c:tickLblPos val="nextTo"/>
        <c:crossAx val="113475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bg2"/>
                </a:solidFill>
                <a:effectLst/>
                <a:latin typeface="Calibri"/>
                <a:ea typeface="Calibri" panose="020F0502020204030204" pitchFamily="34" charset="0"/>
                <a:cs typeface="Calibri" panose="020F0502020204030204" pitchFamily="34" charset="0"/>
              </a:rPr>
              <a:t>SALES BY SUB CATEGORES</a:t>
            </a:r>
            <a:r>
              <a:rPr lang="en-US" b="1">
                <a:solidFill>
                  <a:schemeClr val="bg2"/>
                </a:solidFill>
                <a:effectLst/>
              </a:rPr>
              <a:t> </a:t>
            </a:r>
            <a:endParaRPr lang="en-US" sz="1400" b="1" i="0" u="none" strike="noStrike" baseline="0">
              <a:solidFill>
                <a:schemeClr val="bg2"/>
              </a:solidFill>
              <a:latin typeface="Calibri"/>
            </a:endParaRPr>
          </a:p>
        </cx:rich>
      </cx:tx>
    </cx:title>
    <cx:plotArea>
      <cx:plotAreaRegion>
        <cx:series layoutId="funnel" uniqueId="{DDA08A24-4F47-4DAE-8EEE-70C196FAFEAB}">
          <cx:tx>
            <cx:txData>
              <cx:f>_xlchart.v2.5</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solidFill>
              <a:latin typeface="Aptos" panose="020B0004020202020204" pitchFamily="34" charset="0"/>
            </a:rPr>
            <a:t>SALES BY STATES</a:t>
          </a:r>
        </a:p>
      </cx:txPr>
    </cx:title>
    <cx:plotArea>
      <cx:plotAreaRegion>
        <cx:series layoutId="funnel" uniqueId="{AD238192-0EAD-4992-94EE-C176144F1C52}">
          <cx:tx>
            <cx:txData>
              <cx:f>_xlchart.v2.8</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microsoft.com/office/2014/relationships/chartEx" Target="../charts/chartEx1.xml"/><Relationship Id="rId6" Type="http://schemas.openxmlformats.org/officeDocument/2006/relationships/image" Target="../media/image1.png"/><Relationship Id="rId11" Type="http://schemas.microsoft.com/office/2014/relationships/chartEx" Target="../charts/chartEx2.xml"/><Relationship Id="rId5" Type="http://schemas.openxmlformats.org/officeDocument/2006/relationships/chart" Target="../charts/chart5.xml"/><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314324</xdr:colOff>
      <xdr:row>17</xdr:row>
      <xdr:rowOff>123825</xdr:rowOff>
    </xdr:from>
    <xdr:to>
      <xdr:col>20</xdr:col>
      <xdr:colOff>742949</xdr:colOff>
      <xdr:row>27</xdr:row>
      <xdr:rowOff>66675</xdr:rowOff>
    </xdr:to>
    <xdr:graphicFrame macro="">
      <xdr:nvGraphicFramePr>
        <xdr:cNvPr id="3" name="Chart 2">
          <a:extLst>
            <a:ext uri="{FF2B5EF4-FFF2-40B4-BE49-F238E27FC236}">
              <a16:creationId xmlns:a16="http://schemas.microsoft.com/office/drawing/2014/main" id="{B0AD182E-D7A9-0378-36F4-0E50B8865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666749</xdr:colOff>
      <xdr:row>1</xdr:row>
      <xdr:rowOff>152400</xdr:rowOff>
    </xdr:from>
    <xdr:to>
      <xdr:col>18</xdr:col>
      <xdr:colOff>9525</xdr:colOff>
      <xdr:row>31</xdr:row>
      <xdr:rowOff>47625</xdr:rowOff>
    </xdr:to>
    <xdr:sp macro="" textlink="">
      <xdr:nvSpPr>
        <xdr:cNvPr id="2" name="Rectangle 1">
          <a:extLst>
            <a:ext uri="{FF2B5EF4-FFF2-40B4-BE49-F238E27FC236}">
              <a16:creationId xmlns:a16="http://schemas.microsoft.com/office/drawing/2014/main" id="{6A82B4D8-7DC0-D395-00AC-584CFA96CD61}"/>
            </a:ext>
          </a:extLst>
        </xdr:cNvPr>
        <xdr:cNvSpPr/>
      </xdr:nvSpPr>
      <xdr:spPr>
        <a:xfrm>
          <a:off x="666749" y="342900"/>
          <a:ext cx="11620501" cy="5610225"/>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542924</xdr:colOff>
      <xdr:row>6</xdr:row>
      <xdr:rowOff>14288</xdr:rowOff>
    </xdr:from>
    <xdr:to>
      <xdr:col>7</xdr:col>
      <xdr:colOff>66674</xdr:colOff>
      <xdr:row>18</xdr:row>
      <xdr:rowOff>78296</xdr:rowOff>
    </xdr:to>
    <xdr:sp macro="" textlink="">
      <xdr:nvSpPr>
        <xdr:cNvPr id="3" name="Rectangle: Single Corner Rounded 2">
          <a:extLst>
            <a:ext uri="{FF2B5EF4-FFF2-40B4-BE49-F238E27FC236}">
              <a16:creationId xmlns:a16="http://schemas.microsoft.com/office/drawing/2014/main" id="{4B75060B-9BF1-762E-973B-96E40F8B9688}"/>
            </a:ext>
          </a:extLst>
        </xdr:cNvPr>
        <xdr:cNvSpPr/>
      </xdr:nvSpPr>
      <xdr:spPr>
        <a:xfrm>
          <a:off x="2438399" y="1157288"/>
          <a:ext cx="3200400" cy="2350008"/>
        </a:xfrm>
        <a:prstGeom prst="round1Rect">
          <a:avLst/>
        </a:prstGeom>
        <a:solidFill>
          <a:srgbClr val="110471">
            <a:alpha val="98039"/>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142875</xdr:colOff>
      <xdr:row>6</xdr:row>
      <xdr:rowOff>61913</xdr:rowOff>
    </xdr:from>
    <xdr:to>
      <xdr:col>12</xdr:col>
      <xdr:colOff>295275</xdr:colOff>
      <xdr:row>18</xdr:row>
      <xdr:rowOff>125921</xdr:rowOff>
    </xdr:to>
    <xdr:sp macro="" textlink="">
      <xdr:nvSpPr>
        <xdr:cNvPr id="4" name="Rectangle: Single Corner Rounded 3">
          <a:extLst>
            <a:ext uri="{FF2B5EF4-FFF2-40B4-BE49-F238E27FC236}">
              <a16:creationId xmlns:a16="http://schemas.microsoft.com/office/drawing/2014/main" id="{1F2CC79F-D8A1-4C5C-A5DD-639B2428D117}"/>
            </a:ext>
          </a:extLst>
        </xdr:cNvPr>
        <xdr:cNvSpPr/>
      </xdr:nvSpPr>
      <xdr:spPr>
        <a:xfrm>
          <a:off x="5715000" y="1204913"/>
          <a:ext cx="3200400" cy="2350008"/>
        </a:xfrm>
        <a:prstGeom prst="round1Rect">
          <a:avLst/>
        </a:prstGeom>
        <a:solidFill>
          <a:srgbClr val="11047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419100</xdr:colOff>
      <xdr:row>15</xdr:row>
      <xdr:rowOff>76200</xdr:rowOff>
    </xdr:from>
    <xdr:to>
      <xdr:col>17</xdr:col>
      <xdr:colOff>571500</xdr:colOff>
      <xdr:row>31</xdr:row>
      <xdr:rowOff>1</xdr:rowOff>
    </xdr:to>
    <xdr:sp macro="" textlink="">
      <xdr:nvSpPr>
        <xdr:cNvPr id="5" name="Rectangle: Single Corner Rounded 4">
          <a:extLst>
            <a:ext uri="{FF2B5EF4-FFF2-40B4-BE49-F238E27FC236}">
              <a16:creationId xmlns:a16="http://schemas.microsoft.com/office/drawing/2014/main" id="{9BB5CED6-1B24-439B-A134-188762E99B9D}"/>
            </a:ext>
          </a:extLst>
        </xdr:cNvPr>
        <xdr:cNvSpPr/>
      </xdr:nvSpPr>
      <xdr:spPr>
        <a:xfrm>
          <a:off x="9039225" y="2933700"/>
          <a:ext cx="3200400" cy="2971801"/>
        </a:xfrm>
        <a:prstGeom prst="round1Rect">
          <a:avLst/>
        </a:prstGeom>
        <a:solidFill>
          <a:srgbClr val="11047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502919</xdr:colOff>
      <xdr:row>2</xdr:row>
      <xdr:rowOff>33337</xdr:rowOff>
    </xdr:from>
    <xdr:to>
      <xdr:col>11</xdr:col>
      <xdr:colOff>331470</xdr:colOff>
      <xdr:row>5</xdr:row>
      <xdr:rowOff>171450</xdr:rowOff>
    </xdr:to>
    <xdr:sp macro="" textlink="">
      <xdr:nvSpPr>
        <xdr:cNvPr id="6" name="Rectangle: Rounded Corners 5">
          <a:extLst>
            <a:ext uri="{FF2B5EF4-FFF2-40B4-BE49-F238E27FC236}">
              <a16:creationId xmlns:a16="http://schemas.microsoft.com/office/drawing/2014/main" id="{3682BDDE-0704-4E43-B851-DEF6E148D477}"/>
            </a:ext>
          </a:extLst>
        </xdr:cNvPr>
        <xdr:cNvSpPr/>
      </xdr:nvSpPr>
      <xdr:spPr>
        <a:xfrm>
          <a:off x="1782841" y="410368"/>
          <a:ext cx="6515895" cy="70366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561973</xdr:colOff>
      <xdr:row>18</xdr:row>
      <xdr:rowOff>123826</xdr:rowOff>
    </xdr:from>
    <xdr:to>
      <xdr:col>7</xdr:col>
      <xdr:colOff>85724</xdr:colOff>
      <xdr:row>30</xdr:row>
      <xdr:rowOff>187834</xdr:rowOff>
    </xdr:to>
    <xdr:sp macro="" textlink="">
      <xdr:nvSpPr>
        <xdr:cNvPr id="7" name="Rectangle: Single Corner Rounded 6">
          <a:extLst>
            <a:ext uri="{FF2B5EF4-FFF2-40B4-BE49-F238E27FC236}">
              <a16:creationId xmlns:a16="http://schemas.microsoft.com/office/drawing/2014/main" id="{D3F9E8D8-CBA5-4AA3-95C1-DDCB527EFEAD}"/>
            </a:ext>
          </a:extLst>
        </xdr:cNvPr>
        <xdr:cNvSpPr/>
      </xdr:nvSpPr>
      <xdr:spPr>
        <a:xfrm>
          <a:off x="2457448" y="3552826"/>
          <a:ext cx="3200401" cy="2350008"/>
        </a:xfrm>
        <a:prstGeom prst="round1Rect">
          <a:avLst/>
        </a:prstGeom>
        <a:solidFill>
          <a:srgbClr val="11047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190500</xdr:colOff>
      <xdr:row>18</xdr:row>
      <xdr:rowOff>142876</xdr:rowOff>
    </xdr:from>
    <xdr:to>
      <xdr:col>12</xdr:col>
      <xdr:colOff>342900</xdr:colOff>
      <xdr:row>31</xdr:row>
      <xdr:rowOff>16384</xdr:rowOff>
    </xdr:to>
    <xdr:sp macro="" textlink="">
      <xdr:nvSpPr>
        <xdr:cNvPr id="8" name="Rectangle: Single Corner Rounded 7">
          <a:extLst>
            <a:ext uri="{FF2B5EF4-FFF2-40B4-BE49-F238E27FC236}">
              <a16:creationId xmlns:a16="http://schemas.microsoft.com/office/drawing/2014/main" id="{74414F59-459E-41C0-A332-95092FF53EF1}"/>
            </a:ext>
          </a:extLst>
        </xdr:cNvPr>
        <xdr:cNvSpPr/>
      </xdr:nvSpPr>
      <xdr:spPr>
        <a:xfrm>
          <a:off x="5762625" y="3571876"/>
          <a:ext cx="3200400" cy="2350008"/>
        </a:xfrm>
        <a:prstGeom prst="round1Rect">
          <a:avLst/>
        </a:prstGeom>
        <a:solidFill>
          <a:srgbClr val="11047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381001</xdr:colOff>
      <xdr:row>6</xdr:row>
      <xdr:rowOff>61911</xdr:rowOff>
    </xdr:from>
    <xdr:to>
      <xdr:col>17</xdr:col>
      <xdr:colOff>533401</xdr:colOff>
      <xdr:row>14</xdr:row>
      <xdr:rowOff>183831</xdr:rowOff>
    </xdr:to>
    <xdr:sp macro="" textlink="">
      <xdr:nvSpPr>
        <xdr:cNvPr id="10" name="Rectangle: Top Corners Rounded 9">
          <a:extLst>
            <a:ext uri="{FF2B5EF4-FFF2-40B4-BE49-F238E27FC236}">
              <a16:creationId xmlns:a16="http://schemas.microsoft.com/office/drawing/2014/main" id="{E3BDEA63-5F48-4DAE-912B-3430911B4149}"/>
            </a:ext>
          </a:extLst>
        </xdr:cNvPr>
        <xdr:cNvSpPr/>
      </xdr:nvSpPr>
      <xdr:spPr>
        <a:xfrm>
          <a:off x="9001126" y="1204911"/>
          <a:ext cx="3200400" cy="1645920"/>
        </a:xfrm>
        <a:prstGeom prst="round2SameRect">
          <a:avLst/>
        </a:prstGeom>
        <a:solidFill>
          <a:srgbClr val="11047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495301</xdr:colOff>
      <xdr:row>2</xdr:row>
      <xdr:rowOff>33337</xdr:rowOff>
    </xdr:from>
    <xdr:to>
      <xdr:col>17</xdr:col>
      <xdr:colOff>586741</xdr:colOff>
      <xdr:row>6</xdr:row>
      <xdr:rowOff>2857</xdr:rowOff>
    </xdr:to>
    <xdr:sp macro="" textlink="">
      <xdr:nvSpPr>
        <xdr:cNvPr id="11" name="Rectangle: Rounded Corners 10">
          <a:extLst>
            <a:ext uri="{FF2B5EF4-FFF2-40B4-BE49-F238E27FC236}">
              <a16:creationId xmlns:a16="http://schemas.microsoft.com/office/drawing/2014/main" id="{F4A7E4D5-ABC3-4B14-BBCB-236BE3332891}"/>
            </a:ext>
          </a:extLst>
        </xdr:cNvPr>
        <xdr:cNvSpPr/>
      </xdr:nvSpPr>
      <xdr:spPr>
        <a:xfrm>
          <a:off x="10334626" y="414337"/>
          <a:ext cx="1920240" cy="7315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367665</xdr:colOff>
      <xdr:row>2</xdr:row>
      <xdr:rowOff>33337</xdr:rowOff>
    </xdr:from>
    <xdr:to>
      <xdr:col>14</xdr:col>
      <xdr:colOff>459105</xdr:colOff>
      <xdr:row>6</xdr:row>
      <xdr:rowOff>2857</xdr:rowOff>
    </xdr:to>
    <xdr:sp macro="" textlink="">
      <xdr:nvSpPr>
        <xdr:cNvPr id="12" name="Rectangle: Rounded Corners 11">
          <a:extLst>
            <a:ext uri="{FF2B5EF4-FFF2-40B4-BE49-F238E27FC236}">
              <a16:creationId xmlns:a16="http://schemas.microsoft.com/office/drawing/2014/main" id="{C148CE91-FA66-43F5-AA40-B415478D17E1}"/>
            </a:ext>
          </a:extLst>
        </xdr:cNvPr>
        <xdr:cNvSpPr/>
      </xdr:nvSpPr>
      <xdr:spPr>
        <a:xfrm>
          <a:off x="8378190" y="414337"/>
          <a:ext cx="1920240" cy="7315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438150</xdr:colOff>
      <xdr:row>15</xdr:row>
      <xdr:rowOff>28575</xdr:rowOff>
    </xdr:from>
    <xdr:to>
      <xdr:col>17</xdr:col>
      <xdr:colOff>485775</xdr:colOff>
      <xdr:row>30</xdr:row>
      <xdr:rowOff>28575</xdr:rowOff>
    </xdr:to>
    <mc:AlternateContent xmlns:mc="http://schemas.openxmlformats.org/markup-compatibility/2006">
      <mc:Choice xmlns:cx2="http://schemas.microsoft.com/office/drawing/2015/10/21/chartex" Requires="cx2">
        <xdr:graphicFrame macro="">
          <xdr:nvGraphicFramePr>
            <xdr:cNvPr id="13" name="Chart 13">
              <a:extLst>
                <a:ext uri="{FF2B5EF4-FFF2-40B4-BE49-F238E27FC236}">
                  <a16:creationId xmlns:a16="http://schemas.microsoft.com/office/drawing/2014/main" id="{3EA8504C-7C5C-4E98-866D-20ADCBE44D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58275" y="2886075"/>
              <a:ext cx="3095625"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581026</xdr:colOff>
      <xdr:row>5</xdr:row>
      <xdr:rowOff>161925</xdr:rowOff>
    </xdr:from>
    <xdr:to>
      <xdr:col>7</xdr:col>
      <xdr:colOff>4192</xdr:colOff>
      <xdr:row>18</xdr:row>
      <xdr:rowOff>23241</xdr:rowOff>
    </xdr:to>
    <xdr:graphicFrame macro="">
      <xdr:nvGraphicFramePr>
        <xdr:cNvPr id="16" name="Chart 14">
          <a:extLst>
            <a:ext uri="{FF2B5EF4-FFF2-40B4-BE49-F238E27FC236}">
              <a16:creationId xmlns:a16="http://schemas.microsoft.com/office/drawing/2014/main" id="{0381753E-B443-B1ED-C841-3D91739CE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18</xdr:row>
      <xdr:rowOff>38100</xdr:rowOff>
    </xdr:from>
    <xdr:to>
      <xdr:col>7</xdr:col>
      <xdr:colOff>28575</xdr:colOff>
      <xdr:row>30</xdr:row>
      <xdr:rowOff>147067</xdr:rowOff>
    </xdr:to>
    <xdr:graphicFrame macro="">
      <xdr:nvGraphicFramePr>
        <xdr:cNvPr id="17" name="Chart 11">
          <a:extLst>
            <a:ext uri="{FF2B5EF4-FFF2-40B4-BE49-F238E27FC236}">
              <a16:creationId xmlns:a16="http://schemas.microsoft.com/office/drawing/2014/main" id="{9943ABF2-E75C-CDD8-5E67-FACA704BD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438150</xdr:colOff>
      <xdr:row>2</xdr:row>
      <xdr:rowOff>28575</xdr:rowOff>
    </xdr:from>
    <xdr:to>
      <xdr:col>14</xdr:col>
      <xdr:colOff>466725</xdr:colOff>
      <xdr:row>6</xdr:row>
      <xdr:rowOff>28575</xdr:rowOff>
    </xdr:to>
    <xdr:sp macro="" textlink="">
      <xdr:nvSpPr>
        <xdr:cNvPr id="19" name="TextBox 18">
          <a:extLst>
            <a:ext uri="{FF2B5EF4-FFF2-40B4-BE49-F238E27FC236}">
              <a16:creationId xmlns:a16="http://schemas.microsoft.com/office/drawing/2014/main" id="{6C9E6E4A-557D-7F64-55CD-6128835F8E39}"/>
            </a:ext>
          </a:extLst>
        </xdr:cNvPr>
        <xdr:cNvSpPr txBox="1"/>
      </xdr:nvSpPr>
      <xdr:spPr>
        <a:xfrm>
          <a:off x="8448675" y="409575"/>
          <a:ext cx="18573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cap="none" spc="0">
              <a:ln w="0"/>
              <a:solidFill>
                <a:schemeClr val="tx1"/>
              </a:solidFill>
              <a:effectLst>
                <a:outerShdw blurRad="38100" dist="19050" dir="2700000" algn="tl" rotWithShape="0">
                  <a:schemeClr val="dk1">
                    <a:alpha val="40000"/>
                  </a:schemeClr>
                </a:outerShdw>
              </a:effectLst>
              <a:latin typeface="Aptos" panose="020B0004020202020204" pitchFamily="34" charset="0"/>
            </a:rPr>
            <a:t>            TOTAL</a:t>
          </a:r>
          <a:r>
            <a:rPr lang="en-US" sz="12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rPr>
            <a:t> SALES</a:t>
          </a:r>
          <a:br>
            <a:rPr lang="en-US" sz="1100" b="0" cap="none" spc="0" baseline="0">
              <a:ln>
                <a:noFill/>
              </a:ln>
              <a:solidFill>
                <a:schemeClr val="dk1"/>
              </a:solidFill>
              <a:effectLst/>
              <a:latin typeface="+mn-lt"/>
            </a:rPr>
          </a:br>
          <a:endParaRPr lang="en-US" sz="11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endParaRPr>
        </a:p>
        <a:p>
          <a:pPr algn="ctr"/>
          <a:r>
            <a:rPr lang="en-US" sz="1600" b="1" i="0" u="none" strike="noStrike" cap="none" spc="0">
              <a:ln w="0"/>
              <a:solidFill>
                <a:schemeClr val="tx1"/>
              </a:solidFill>
              <a:effectLst>
                <a:outerShdw blurRad="38100" dist="19050" dir="2700000" algn="tl" rotWithShape="0">
                  <a:schemeClr val="dk1">
                    <a:alpha val="40000"/>
                  </a:schemeClr>
                </a:outerShdw>
              </a:effectLst>
              <a:latin typeface="Aptos" panose="020B0004020202020204" pitchFamily="34" charset="0"/>
              <a:ea typeface="+mn-ea"/>
              <a:cs typeface="+mn-cs"/>
            </a:rPr>
            <a:t>           ₦ 11,775,883</a:t>
          </a:r>
          <a:r>
            <a:rPr lang="en-US" sz="1600" b="1" cap="none" spc="0">
              <a:ln w="0"/>
              <a:solidFill>
                <a:schemeClr val="tx1"/>
              </a:solidFill>
              <a:effectLst>
                <a:outerShdw blurRad="38100" dist="19050" dir="2700000" algn="tl" rotWithShape="0">
                  <a:schemeClr val="dk1">
                    <a:alpha val="40000"/>
                  </a:schemeClr>
                </a:outerShdw>
              </a:effectLst>
              <a:latin typeface="Aptos" panose="020B0004020202020204" pitchFamily="34" charset="0"/>
            </a:rPr>
            <a:t> </a:t>
          </a:r>
          <a:endParaRPr lang="en-US" sz="16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endParaRPr>
        </a:p>
      </xdr:txBody>
    </xdr:sp>
    <xdr:clientData/>
  </xdr:twoCellAnchor>
  <xdr:twoCellAnchor>
    <xdr:from>
      <xdr:col>14</xdr:col>
      <xdr:colOff>590551</xdr:colOff>
      <xdr:row>2</xdr:row>
      <xdr:rowOff>33337</xdr:rowOff>
    </xdr:from>
    <xdr:to>
      <xdr:col>18</xdr:col>
      <xdr:colOff>0</xdr:colOff>
      <xdr:row>6</xdr:row>
      <xdr:rowOff>33337</xdr:rowOff>
    </xdr:to>
    <xdr:sp macro="" textlink="">
      <xdr:nvSpPr>
        <xdr:cNvPr id="20" name="TextBox 19">
          <a:extLst>
            <a:ext uri="{FF2B5EF4-FFF2-40B4-BE49-F238E27FC236}">
              <a16:creationId xmlns:a16="http://schemas.microsoft.com/office/drawing/2014/main" id="{B87E3DF7-C9AF-4AC2-B1D9-2AB5387764F4}"/>
            </a:ext>
          </a:extLst>
        </xdr:cNvPr>
        <xdr:cNvSpPr txBox="1"/>
      </xdr:nvSpPr>
      <xdr:spPr>
        <a:xfrm>
          <a:off x="10429876" y="414337"/>
          <a:ext cx="1847849"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cap="none" spc="0">
              <a:ln w="0"/>
              <a:solidFill>
                <a:schemeClr val="tx1"/>
              </a:solidFill>
              <a:effectLst>
                <a:outerShdw blurRad="38100" dist="19050" dir="2700000" algn="tl" rotWithShape="0">
                  <a:schemeClr val="dk1">
                    <a:alpha val="40000"/>
                  </a:schemeClr>
                </a:outerShdw>
              </a:effectLst>
              <a:latin typeface="Aptos" panose="020B0004020202020204" pitchFamily="34" charset="0"/>
            </a:rPr>
            <a:t>          TOTAL</a:t>
          </a:r>
          <a:r>
            <a:rPr lang="en-US" sz="12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rPr>
            <a:t> PROFIT</a:t>
          </a:r>
          <a:br>
            <a:rPr lang="en-US" sz="1100" b="0" cap="none" spc="0" baseline="0">
              <a:ln>
                <a:noFill/>
              </a:ln>
              <a:solidFill>
                <a:schemeClr val="dk1"/>
              </a:solidFill>
              <a:effectLst/>
              <a:latin typeface="+mn-lt"/>
            </a:rPr>
          </a:br>
          <a:endParaRPr lang="en-US" sz="11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endParaRPr>
        </a:p>
        <a:p>
          <a:pPr algn="ctr"/>
          <a:r>
            <a:rPr lang="en-US" sz="1600" b="1" i="0" u="none" strike="noStrike">
              <a:solidFill>
                <a:schemeClr val="dk1"/>
              </a:solidFill>
              <a:effectLst/>
              <a:latin typeface="Aptos" panose="020B0004020202020204" pitchFamily="34" charset="0"/>
              <a:ea typeface="+mn-ea"/>
              <a:cs typeface="+mn-cs"/>
            </a:rPr>
            <a:t>           ₦ 76,174,725</a:t>
          </a:r>
          <a:r>
            <a:rPr lang="en-US" sz="1600" b="1">
              <a:effectLst/>
              <a:latin typeface="Aptos" panose="020B0004020202020204" pitchFamily="34" charset="0"/>
            </a:rPr>
            <a:t> </a:t>
          </a:r>
          <a:endParaRPr lang="en-US" sz="16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endParaRPr>
        </a:p>
      </xdr:txBody>
    </xdr:sp>
    <xdr:clientData/>
  </xdr:twoCellAnchor>
  <xdr:twoCellAnchor>
    <xdr:from>
      <xdr:col>12</xdr:col>
      <xdr:colOff>419099</xdr:colOff>
      <xdr:row>5</xdr:row>
      <xdr:rowOff>152400</xdr:rowOff>
    </xdr:from>
    <xdr:to>
      <xdr:col>17</xdr:col>
      <xdr:colOff>428624</xdr:colOff>
      <xdr:row>14</xdr:row>
      <xdr:rowOff>85725</xdr:rowOff>
    </xdr:to>
    <xdr:graphicFrame macro="">
      <xdr:nvGraphicFramePr>
        <xdr:cNvPr id="21" name="Chart 20">
          <a:extLst>
            <a:ext uri="{FF2B5EF4-FFF2-40B4-BE49-F238E27FC236}">
              <a16:creationId xmlns:a16="http://schemas.microsoft.com/office/drawing/2014/main" id="{57F4FF57-4927-84DC-EF4E-772431C47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47624</xdr:colOff>
      <xdr:row>6</xdr:row>
      <xdr:rowOff>66675</xdr:rowOff>
    </xdr:from>
    <xdr:to>
      <xdr:col>3</xdr:col>
      <xdr:colOff>495300</xdr:colOff>
      <xdr:row>30</xdr:row>
      <xdr:rowOff>180975</xdr:rowOff>
    </xdr:to>
    <xdr:sp macro="" textlink="">
      <xdr:nvSpPr>
        <xdr:cNvPr id="22" name="Rectangle 21">
          <a:extLst>
            <a:ext uri="{FF2B5EF4-FFF2-40B4-BE49-F238E27FC236}">
              <a16:creationId xmlns:a16="http://schemas.microsoft.com/office/drawing/2014/main" id="{AE491A8B-CD36-49C0-B124-97C8BF4F8570}"/>
            </a:ext>
          </a:extLst>
        </xdr:cNvPr>
        <xdr:cNvSpPr/>
      </xdr:nvSpPr>
      <xdr:spPr>
        <a:xfrm>
          <a:off x="723899" y="1209675"/>
          <a:ext cx="1666876" cy="4686300"/>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221795</xdr:colOff>
      <xdr:row>18</xdr:row>
      <xdr:rowOff>99219</xdr:rowOff>
    </xdr:from>
    <xdr:to>
      <xdr:col>12</xdr:col>
      <xdr:colOff>307578</xdr:colOff>
      <xdr:row>30</xdr:row>
      <xdr:rowOff>176892</xdr:rowOff>
    </xdr:to>
    <xdr:graphicFrame macro="">
      <xdr:nvGraphicFramePr>
        <xdr:cNvPr id="23" name="Chart 21">
          <a:extLst>
            <a:ext uri="{FF2B5EF4-FFF2-40B4-BE49-F238E27FC236}">
              <a16:creationId xmlns:a16="http://schemas.microsoft.com/office/drawing/2014/main" id="{9FD42BEB-E2AD-668D-8EEC-206DDA8AD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571501</xdr:colOff>
      <xdr:row>1</xdr:row>
      <xdr:rowOff>169333</xdr:rowOff>
    </xdr:from>
    <xdr:to>
      <xdr:col>3</xdr:col>
      <xdr:colOff>787408</xdr:colOff>
      <xdr:row>6</xdr:row>
      <xdr:rowOff>46573</xdr:rowOff>
    </xdr:to>
    <xdr:pic>
      <xdr:nvPicPr>
        <xdr:cNvPr id="24" name="Picture 23" descr="Bar graph with upward trend with solid fill">
          <a:extLst>
            <a:ext uri="{FF2B5EF4-FFF2-40B4-BE49-F238E27FC236}">
              <a16:creationId xmlns:a16="http://schemas.microsoft.com/office/drawing/2014/main" id="{1180C4D8-52E3-73EC-4615-93A88F5125D5}"/>
            </a:ext>
          </a:extLst>
        </xdr:cNvPr>
        <xdr:cNvPicPr>
          <a:picLocks noChangeAspect="1"/>
        </xdr:cNvPicPr>
      </xdr:nvPicPr>
      <xdr:blipFill>
        <a:blip xmlns:r="http://schemas.openxmlformats.org/officeDocument/2006/relationships" r:embed="rId6"/>
        <a:stretch>
          <a:fillRect/>
        </a:stretch>
      </xdr:blipFill>
      <xdr:spPr>
        <a:xfrm>
          <a:off x="1862668" y="359833"/>
          <a:ext cx="829740" cy="829740"/>
        </a:xfrm>
        <a:prstGeom prst="rect">
          <a:avLst/>
        </a:prstGeom>
      </xdr:spPr>
    </xdr:pic>
    <xdr:clientData/>
  </xdr:twoCellAnchor>
  <xdr:twoCellAnchor editAs="oneCell">
    <xdr:from>
      <xdr:col>14</xdr:col>
      <xdr:colOff>486835</xdr:colOff>
      <xdr:row>2</xdr:row>
      <xdr:rowOff>105834</xdr:rowOff>
    </xdr:from>
    <xdr:to>
      <xdr:col>15</xdr:col>
      <xdr:colOff>444500</xdr:colOff>
      <xdr:row>5</xdr:row>
      <xdr:rowOff>105833</xdr:rowOff>
    </xdr:to>
    <xdr:pic>
      <xdr:nvPicPr>
        <xdr:cNvPr id="25" name="Picture 24" descr="Coins with solid fill">
          <a:extLst>
            <a:ext uri="{FF2B5EF4-FFF2-40B4-BE49-F238E27FC236}">
              <a16:creationId xmlns:a16="http://schemas.microsoft.com/office/drawing/2014/main" id="{A3718354-066B-C003-E70C-1515FB773B54}"/>
            </a:ext>
          </a:extLst>
        </xdr:cNvPr>
        <xdr:cNvPicPr>
          <a:picLocks noChangeAspect="1"/>
        </xdr:cNvPicPr>
      </xdr:nvPicPr>
      <xdr:blipFill>
        <a:blip xmlns:r="http://schemas.openxmlformats.org/officeDocument/2006/relationships" r:embed="rId7"/>
        <a:stretch>
          <a:fillRect/>
        </a:stretch>
      </xdr:blipFill>
      <xdr:spPr>
        <a:xfrm>
          <a:off x="10371668" y="486834"/>
          <a:ext cx="571499" cy="571499"/>
        </a:xfrm>
        <a:prstGeom prst="rect">
          <a:avLst/>
        </a:prstGeom>
      </xdr:spPr>
    </xdr:pic>
    <xdr:clientData/>
  </xdr:twoCellAnchor>
  <xdr:twoCellAnchor editAs="oneCell">
    <xdr:from>
      <xdr:col>11</xdr:col>
      <xdr:colOff>349251</xdr:colOff>
      <xdr:row>1</xdr:row>
      <xdr:rowOff>158751</xdr:rowOff>
    </xdr:from>
    <xdr:to>
      <xdr:col>12</xdr:col>
      <xdr:colOff>455083</xdr:colOff>
      <xdr:row>5</xdr:row>
      <xdr:rowOff>116417</xdr:rowOff>
    </xdr:to>
    <xdr:pic>
      <xdr:nvPicPr>
        <xdr:cNvPr id="26" name="Picture 25" descr="Business Growth with solid fill">
          <a:extLst>
            <a:ext uri="{FF2B5EF4-FFF2-40B4-BE49-F238E27FC236}">
              <a16:creationId xmlns:a16="http://schemas.microsoft.com/office/drawing/2014/main" id="{FD588DB9-FA38-8BF7-F876-9017EF7E732F}"/>
            </a:ext>
          </a:extLst>
        </xdr:cNvPr>
        <xdr:cNvPicPr>
          <a:picLocks noChangeAspect="1"/>
        </xdr:cNvPicPr>
      </xdr:nvPicPr>
      <xdr:blipFill>
        <a:blip xmlns:r="http://schemas.openxmlformats.org/officeDocument/2006/relationships" r:embed="rId8"/>
        <a:stretch>
          <a:fillRect/>
        </a:stretch>
      </xdr:blipFill>
      <xdr:spPr>
        <a:xfrm>
          <a:off x="8392584" y="349251"/>
          <a:ext cx="719666" cy="719666"/>
        </a:xfrm>
        <a:prstGeom prst="rect">
          <a:avLst/>
        </a:prstGeom>
      </xdr:spPr>
    </xdr:pic>
    <xdr:clientData/>
  </xdr:twoCellAnchor>
  <xdr:twoCellAnchor editAs="oneCell">
    <xdr:from>
      <xdr:col>1</xdr:col>
      <xdr:colOff>69054</xdr:colOff>
      <xdr:row>6</xdr:row>
      <xdr:rowOff>88502</xdr:rowOff>
    </xdr:from>
    <xdr:to>
      <xdr:col>3</xdr:col>
      <xdr:colOff>477074</xdr:colOff>
      <xdr:row>11</xdr:row>
      <xdr:rowOff>60324</xdr:rowOff>
    </xdr:to>
    <mc:AlternateContent xmlns:mc="http://schemas.openxmlformats.org/markup-compatibility/2006">
      <mc:Choice xmlns:a14="http://schemas.microsoft.com/office/drawing/2010/main" Requires="a14">
        <xdr:graphicFrame macro="">
          <xdr:nvGraphicFramePr>
            <xdr:cNvPr id="27" name="Year 1">
              <a:extLst>
                <a:ext uri="{FF2B5EF4-FFF2-40B4-BE49-F238E27FC236}">
                  <a16:creationId xmlns:a16="http://schemas.microsoft.com/office/drawing/2014/main" id="{21E8A453-CE8A-4B82-A8CE-B0D62D92778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41407" y="1231502"/>
              <a:ext cx="1618255" cy="924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69054</xdr:colOff>
      <xdr:row>11</xdr:row>
      <xdr:rowOff>98426</xdr:rowOff>
    </xdr:from>
    <xdr:to>
      <xdr:col>3</xdr:col>
      <xdr:colOff>477074</xdr:colOff>
      <xdr:row>17</xdr:row>
      <xdr:rowOff>109142</xdr:rowOff>
    </xdr:to>
    <mc:AlternateContent xmlns:mc="http://schemas.openxmlformats.org/markup-compatibility/2006">
      <mc:Choice xmlns:a14="http://schemas.microsoft.com/office/drawing/2010/main" Requires="a14">
        <xdr:graphicFrame macro="">
          <xdr:nvGraphicFramePr>
            <xdr:cNvPr id="28" name="Category 1">
              <a:extLst>
                <a:ext uri="{FF2B5EF4-FFF2-40B4-BE49-F238E27FC236}">
                  <a16:creationId xmlns:a16="http://schemas.microsoft.com/office/drawing/2014/main" id="{9F8B5882-C703-4788-B0F9-CDFD9F665D6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1407" y="2193926"/>
              <a:ext cx="1618255" cy="1153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69054</xdr:colOff>
      <xdr:row>17</xdr:row>
      <xdr:rowOff>128191</xdr:rowOff>
    </xdr:from>
    <xdr:to>
      <xdr:col>3</xdr:col>
      <xdr:colOff>477074</xdr:colOff>
      <xdr:row>30</xdr:row>
      <xdr:rowOff>158750</xdr:rowOff>
    </xdr:to>
    <mc:AlternateContent xmlns:mc="http://schemas.openxmlformats.org/markup-compatibility/2006">
      <mc:Choice xmlns:a14="http://schemas.microsoft.com/office/drawing/2010/main" Requires="a14">
        <xdr:graphicFrame macro="">
          <xdr:nvGraphicFramePr>
            <xdr:cNvPr id="29" name="Month. 1">
              <a:extLst>
                <a:ext uri="{FF2B5EF4-FFF2-40B4-BE49-F238E27FC236}">
                  <a16:creationId xmlns:a16="http://schemas.microsoft.com/office/drawing/2014/main" id="{C72AC44D-D091-4F26-A88E-384C714F0DD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41407" y="3366691"/>
              <a:ext cx="1618255" cy="2507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655827</xdr:colOff>
      <xdr:row>2</xdr:row>
      <xdr:rowOff>81849</xdr:rowOff>
    </xdr:from>
    <xdr:ext cx="5713039" cy="593239"/>
    <xdr:sp macro="" textlink="">
      <xdr:nvSpPr>
        <xdr:cNvPr id="35" name="Rectangle 34">
          <a:extLst>
            <a:ext uri="{FF2B5EF4-FFF2-40B4-BE49-F238E27FC236}">
              <a16:creationId xmlns:a16="http://schemas.microsoft.com/office/drawing/2014/main" id="{30F33243-A9BF-3704-A3CE-5B218AF06036}"/>
            </a:ext>
          </a:extLst>
        </xdr:cNvPr>
        <xdr:cNvSpPr/>
      </xdr:nvSpPr>
      <xdr:spPr>
        <a:xfrm>
          <a:off x="2540983" y="458880"/>
          <a:ext cx="5713039" cy="593239"/>
        </a:xfrm>
        <a:prstGeom prst="rect">
          <a:avLst/>
        </a:prstGeom>
        <a:noFill/>
      </xdr:spPr>
      <xdr:txBody>
        <a:bodyPr wrap="none" lIns="91440" tIns="45720" rIns="91440" bIns="45720">
          <a:spAutoFit/>
        </a:bodyPr>
        <a:lstStyle/>
        <a:p>
          <a:pPr algn="ctr"/>
          <a:r>
            <a:rPr lang="en-US" sz="3200" b="1" cap="none" spc="0">
              <a:ln w="0"/>
              <a:solidFill>
                <a:schemeClr val="tx1"/>
              </a:solidFill>
              <a:effectLst>
                <a:outerShdw blurRad="38100" dist="19050" dir="2700000" algn="tl" rotWithShape="0">
                  <a:schemeClr val="dk1">
                    <a:alpha val="40000"/>
                  </a:schemeClr>
                </a:outerShdw>
              </a:effectLst>
              <a:latin typeface="Aptos" panose="020B0004020202020204" pitchFamily="34" charset="0"/>
            </a:rPr>
            <a:t>SALES</a:t>
          </a:r>
          <a:r>
            <a:rPr lang="en-US" sz="3200" b="1" cap="none" spc="0" baseline="0">
              <a:ln w="0"/>
              <a:solidFill>
                <a:schemeClr val="tx1"/>
              </a:solidFill>
              <a:effectLst>
                <a:outerShdw blurRad="38100" dist="19050" dir="2700000" algn="tl" rotWithShape="0">
                  <a:schemeClr val="dk1">
                    <a:alpha val="40000"/>
                  </a:schemeClr>
                </a:outerShdw>
              </a:effectLst>
              <a:latin typeface="Aptos" panose="020B0004020202020204" pitchFamily="34" charset="0"/>
            </a:rPr>
            <a:t> &amp; PROFIT DASHBOARD</a:t>
          </a:r>
          <a:endParaRPr lang="en-US" sz="3200" b="1" cap="none" spc="0">
            <a:ln w="0"/>
            <a:solidFill>
              <a:schemeClr val="tx1"/>
            </a:solidFill>
            <a:effectLst>
              <a:outerShdw blurRad="38100" dist="19050" dir="2700000" algn="tl" rotWithShape="0">
                <a:schemeClr val="dk1">
                  <a:alpha val="40000"/>
                </a:schemeClr>
              </a:outerShdw>
            </a:effectLst>
            <a:latin typeface="Aptos" panose="020B0004020202020204" pitchFamily="34" charset="0"/>
          </a:endParaRPr>
        </a:p>
      </xdr:txBody>
    </xdr:sp>
    <xdr:clientData/>
  </xdr:oneCellAnchor>
  <xdr:twoCellAnchor editAs="oneCell">
    <xdr:from>
      <xdr:col>1</xdr:col>
      <xdr:colOff>71437</xdr:colOff>
      <xdr:row>2</xdr:row>
      <xdr:rowOff>59533</xdr:rowOff>
    </xdr:from>
    <xdr:to>
      <xdr:col>2</xdr:col>
      <xdr:colOff>470058</xdr:colOff>
      <xdr:row>5</xdr:row>
      <xdr:rowOff>113972</xdr:rowOff>
    </xdr:to>
    <xdr:pic>
      <xdr:nvPicPr>
        <xdr:cNvPr id="36" name="Picture 35">
          <a:extLst>
            <a:ext uri="{FF2B5EF4-FFF2-40B4-BE49-F238E27FC236}">
              <a16:creationId xmlns:a16="http://schemas.microsoft.com/office/drawing/2014/main" id="{968AC08C-7B68-3B56-09B3-A8200C1B2E39}"/>
            </a:ext>
          </a:extLst>
        </xdr:cNvPr>
        <xdr:cNvPicPr>
          <a:picLocks noChangeAspect="1"/>
        </xdr:cNvPicPr>
      </xdr:nvPicPr>
      <xdr:blipFill>
        <a:blip xmlns:r="http://schemas.openxmlformats.org/officeDocument/2006/relationships" r:embed="rId9">
          <a:duotone>
            <a:schemeClr val="accent1">
              <a:shade val="45000"/>
              <a:satMod val="135000"/>
            </a:schemeClr>
            <a:prstClr val="white"/>
          </a:duotone>
          <a:extLst>
            <a:ext uri="{BEBA8EAE-BF5A-486C-A8C5-ECC9F3942E4B}">
              <a14:imgProps xmlns:a14="http://schemas.microsoft.com/office/drawing/2010/main">
                <a14:imgLayer r:embed="rId10">
                  <a14:imgEffect>
                    <a14:artisticGlowEdges/>
                  </a14:imgEffect>
                  <a14:imgEffect>
                    <a14:saturation sat="0"/>
                  </a14:imgEffect>
                </a14:imgLayer>
              </a14:imgProps>
            </a:ext>
          </a:extLst>
        </a:blip>
        <a:stretch>
          <a:fillRect/>
        </a:stretch>
      </xdr:blipFill>
      <xdr:spPr>
        <a:xfrm>
          <a:off x="750093" y="440533"/>
          <a:ext cx="1005840" cy="625939"/>
        </a:xfrm>
        <a:prstGeom prst="rect">
          <a:avLst/>
        </a:prstGeom>
        <a:solidFill>
          <a:schemeClr val="accent5">
            <a:lumMod val="60000"/>
            <a:lumOff val="40000"/>
          </a:schemeClr>
        </a:solidFill>
        <a:ln>
          <a:noFill/>
        </a:ln>
      </xdr:spPr>
    </xdr:pic>
    <xdr:clientData/>
  </xdr:twoCellAnchor>
  <xdr:twoCellAnchor>
    <xdr:from>
      <xdr:col>7</xdr:col>
      <xdr:colOff>145678</xdr:colOff>
      <xdr:row>6</xdr:row>
      <xdr:rowOff>78441</xdr:rowOff>
    </xdr:from>
    <xdr:to>
      <xdr:col>12</xdr:col>
      <xdr:colOff>291354</xdr:colOff>
      <xdr:row>18</xdr:row>
      <xdr:rowOff>67234</xdr:rowOff>
    </xdr:to>
    <mc:AlternateContent xmlns:mc="http://schemas.openxmlformats.org/markup-compatibility/2006">
      <mc:Choice xmlns:cx2="http://schemas.microsoft.com/office/drawing/2015/10/21/chartex" Requires="cx2">
        <xdr:graphicFrame macro="">
          <xdr:nvGraphicFramePr>
            <xdr:cNvPr id="40" name="Chart 27">
              <a:extLst>
                <a:ext uri="{FF2B5EF4-FFF2-40B4-BE49-F238E27FC236}">
                  <a16:creationId xmlns:a16="http://schemas.microsoft.com/office/drawing/2014/main" id="{9EBDAECD-76D9-536E-EA5F-12989CD6C5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692590" y="1221441"/>
              <a:ext cx="3171264" cy="22747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nthia" refreshedDate="45992.480776273151" createdVersion="8" refreshedVersion="8" minRefreshableVersion="3" recordCount="300" xr:uid="{58E08657-9F23-4197-ABA5-6AF5ABC40491}">
  <cacheSource type="worksheet">
    <worksheetSource name="Table1"/>
  </cacheSource>
  <cacheFields count="12">
    <cacheField name="Order Date" numFmtId="0">
      <sharedItems/>
    </cacheField>
    <cacheField name="Customer Name" numFmtId="0">
      <sharedItems count="300">
        <s v="Patrick Cooper"/>
        <s v="Elizabeth Cameron"/>
        <s v="Rachael Adams"/>
        <s v="Amanda Hunt"/>
        <s v="Kimberly Roberts"/>
        <s v="Rhonda Lewis"/>
        <s v="Anthony Heath"/>
        <s v="Eric Johnson"/>
        <s v="Robert Sandoval"/>
        <s v="Kathy Woodward"/>
        <s v="Angela Avery"/>
        <s v="Megan Luna"/>
        <s v="Catherine Hughes"/>
        <s v="Kelly Wallace"/>
        <s v="Destiny Sullivan"/>
        <s v="Tammy Lewis"/>
        <s v="James Atkinson"/>
        <s v="Mitchell Smith"/>
        <s v="Nicholas Roberts"/>
        <s v="Richard Lutz"/>
        <s v="Michael Bailey"/>
        <s v="Sandra Stephens"/>
        <s v="Stefanie Cox DDS"/>
        <s v="Nicholas Hill"/>
        <s v="Miss Michele Graham"/>
        <s v="Tamara Hansen"/>
        <s v="James Hall"/>
        <s v="Kathryn Shea"/>
        <s v="Michelle Robinson"/>
        <s v="Austin Wyatt"/>
        <s v="Michelle Estrada"/>
        <s v="Lauren Ferguson"/>
        <s v="Warren Brewer"/>
        <s v="Kenneth Martin"/>
        <s v="Savannah Schroeder"/>
        <s v="Shawn Lynn"/>
        <s v="Robert Warner"/>
        <s v="Amanda Paul"/>
        <s v="Sarah Hill"/>
        <s v="Brandy Shaw"/>
        <s v="Peter Payne"/>
        <s v="Frank Nichols"/>
        <s v="Crystal Sosa"/>
        <s v="Courtney Osborne"/>
        <s v="Amy Taylor"/>
        <s v="Jennifer Tyler"/>
        <s v="Karl Mays"/>
        <s v="Jerry Tran"/>
        <s v="Curtis Powell"/>
        <s v="Jeff Stewart"/>
        <s v="Bridget Alvarado"/>
        <s v="Carmen Herrera"/>
        <s v="Christopher Reyes"/>
        <s v="Daniel Miller"/>
        <s v="Tiffany Trevino"/>
        <s v="Sean Boyle"/>
        <s v="Randy Jacobs"/>
        <s v="Carolyn Le"/>
        <s v="Wendy Vincent"/>
        <s v="Erica Diaz"/>
        <s v="Heidi House"/>
        <s v="Daniel Rowe"/>
        <s v="Haley Frank"/>
        <s v="Ryan Myers"/>
        <s v="Erica Swanson"/>
        <s v="Colleen Jones"/>
        <s v="Max Taylor"/>
        <s v="Dean Estes"/>
        <s v="Carolyn Bryant"/>
        <s v="Lisa Cunningham"/>
        <s v="Justin Hicks"/>
        <s v="Amy Williams"/>
        <s v="William Ramos"/>
        <s v="Emily Rhodes"/>
        <s v="Amanda Jackson"/>
        <s v="Brett Pope"/>
        <s v="Tyler Cannon"/>
        <s v="Jennifer Stout"/>
        <s v="Julia Thompson"/>
        <s v="Sandra Elliott"/>
        <s v="Maria Johnson"/>
        <s v="Adam Lambert"/>
        <s v="Ronald Coleman"/>
        <s v="Mrs. Jennifer Nelson DDS"/>
        <s v="Joshua Miller"/>
        <s v="Karen Barnett"/>
        <s v="Benjamin Adams"/>
        <s v="Anthony Barber"/>
        <s v="Brittany Walls"/>
        <s v="Dustin Webster"/>
        <s v="Justin Huerta"/>
        <s v="Melissa Guerra"/>
        <s v="Richard Gonzales"/>
        <s v="Patricia Cantrell"/>
        <s v="Jacqueline Greene"/>
        <s v="Justin Smith"/>
        <s v="Marcus Anderson"/>
        <s v="Daniel Reed"/>
        <s v="Megan Garcia"/>
        <s v="Christopher Brock"/>
        <s v="Ariana Chambers"/>
        <s v="Terry Dean"/>
        <s v="Lisa King"/>
        <s v="Allison Thomas"/>
        <s v="Nicole Mccullough"/>
        <s v="Samantha Jones"/>
        <s v="Charles Hess"/>
        <s v="Gregory Gibson"/>
        <s v="Kristin Bailey"/>
        <s v="Debra Giles"/>
        <s v="Susan Jones"/>
        <s v="Amy Douglas"/>
        <s v="Michael Brown"/>
        <s v="Lindsay Campbell"/>
        <s v="Wayne Vasquez"/>
        <s v="Veronica Smith"/>
        <s v="Devin Reeves"/>
        <s v="Jenna Jones"/>
        <s v="Francisco Hill"/>
        <s v="Christopher Mason"/>
        <s v="Ryan Moon"/>
        <s v="Christine Stokes"/>
        <s v="Lorraine Pierce"/>
        <s v="Austin Tran"/>
        <s v="Christine Miller"/>
        <s v="Brittany Hebert"/>
        <s v="Gregory Lopez"/>
        <s v="Shari Kennedy"/>
        <s v="Jonathan Garrett"/>
        <s v="Carrie Wood"/>
        <s v="Joseph Smith"/>
        <s v="Andrew Cole"/>
        <s v="Brendan Peterson"/>
        <s v="Michael Moore"/>
        <s v="Lucas Good"/>
        <s v="Edwin Hill"/>
        <s v="Christine Simmons"/>
        <s v="Tony Cook"/>
        <s v="Tracy Quinn"/>
        <s v="Sierra Gibson"/>
        <s v="Adam Collins"/>
        <s v="Heather Jones"/>
        <s v="Matthew Munoz"/>
        <s v="Stephanie Miles"/>
        <s v="Yesenia Hernandez"/>
        <s v="Megan Leblanc"/>
        <s v="Jennifer Smith"/>
        <s v="Vincent Ingram"/>
        <s v="Gerald Bruce"/>
        <s v="Thomas Atkins"/>
        <s v="Albert Jimenez"/>
        <s v="Christopher Wilson"/>
        <s v="Rebecca Wilson"/>
        <s v="Jennifer Hoffman"/>
        <s v="Brian Bryant"/>
        <s v="Arthur Harris"/>
        <s v="Lindsay Parker"/>
        <s v="Jennifer Thomas"/>
        <s v="Justin Sparks"/>
        <s v="Julian Butler"/>
        <s v="Sherry Griffin"/>
        <s v="Jacob Perry"/>
        <s v="Timothy Perez"/>
        <s v="Brian Morales"/>
        <s v="Rachel Allison"/>
        <s v="Charles Deleon"/>
        <s v="Linda Burnett"/>
        <s v="Virginia Palmer"/>
        <s v="Richard Williams"/>
        <s v="Joshua Cox"/>
        <s v="Bryan Evans"/>
        <s v="Mrs. Maria Pineda MD"/>
        <s v="Catherine Robles"/>
        <s v="William Johnson"/>
        <s v="Samantha Castillo"/>
        <s v="George Ellis"/>
        <s v="Rachel Francis"/>
        <s v="Kathryn Dudley"/>
        <s v="Michael Baldwin"/>
        <s v="Candice Rowe"/>
        <s v="Kari Neal"/>
        <s v="Harold Lopez"/>
        <s v="William Burns"/>
        <s v="Jacob Jones"/>
        <s v="Debra Montes"/>
        <s v="Cindy Jackson"/>
        <s v="Destiny Shannon"/>
        <s v="Craig Knapp MD"/>
        <s v="Loretta Jordan"/>
        <s v="Mr. Matthew Taylor"/>
        <s v="John Miller"/>
        <s v="Kelly Johnson"/>
        <s v="Ethan Jones"/>
        <s v="Kimberly Evans"/>
        <s v="William Wright"/>
        <s v="Jason Young"/>
        <s v="Jessica Smith"/>
        <s v="Jessica Gomez"/>
        <s v="Barbara Lloyd"/>
        <s v="Anna Perez"/>
        <s v="April Dominguez"/>
        <s v="Rebecca Hernandez"/>
        <s v="Kendra Stone"/>
        <s v="Kristen Fritz"/>
        <s v="Samuel Williams"/>
        <s v="Melanie Hunter"/>
        <s v="Sharon Higgins"/>
        <s v="Regina Martinez"/>
        <s v="Howard Jones"/>
        <s v="Zachary Sweeney"/>
        <s v="Michael Palmer"/>
        <s v="Dana Williams"/>
        <s v="Jonathan Richards"/>
        <s v="Robin Middleton"/>
        <s v="Christopher Perez"/>
        <s v="Sonya Ross"/>
        <s v="Nathan Freeman"/>
        <s v="Ronald Jones"/>
        <s v="Denise Campbell"/>
        <s v="Holly Douglas"/>
        <s v="Paula Preston"/>
        <s v="Elizabeth Jackson"/>
        <s v="Adam Nichols"/>
        <s v="Matthew Thomas"/>
        <s v="Tracy Myers"/>
        <s v="Mrs. Tonya Nelson"/>
        <s v="Patrick Adams"/>
        <s v="Roy Bowers"/>
        <s v="Marissa Watson"/>
        <s v="Linda Howell"/>
        <s v="Zachary Mckinney"/>
        <s v="Mario Henderson"/>
        <s v="Candace Frank"/>
        <s v="Melissa Rodriguez"/>
        <s v="Melanie Evans"/>
        <s v="Mariah Richardson"/>
        <s v="Michael Johnson"/>
        <s v="Kylie Campbell"/>
        <s v="Cassandra Montgomery"/>
        <s v="Dustin Foster"/>
        <s v="Matthew Potter"/>
        <s v="Natasha Sanchez"/>
        <s v="Deborah Knight"/>
        <s v="Zachary Murray"/>
        <s v="Danielle Smith"/>
        <s v="Destiny Mitchell"/>
        <s v="Walter Richards"/>
        <s v="Scott Manning"/>
        <s v="Michael Wu"/>
        <s v="Jonathan Bauer"/>
        <s v="Terri Parsons DDS"/>
        <s v="Randy Smith"/>
        <s v="Kevin Henderson"/>
        <s v="Ryan Crawford"/>
        <s v="Matthew Smith"/>
        <s v="Steven Conway"/>
        <s v="Heather Bryant"/>
        <s v="Ryan Hopkins"/>
        <s v="Joseph Gilbert"/>
        <s v="Melissa Christian"/>
        <s v="Melissa Marshall"/>
        <s v="Katelyn Davis"/>
        <s v="Jerry Malone"/>
        <s v="Jerry Ramirez"/>
        <s v="Hannah Sanchez"/>
        <s v="Ronald Delgado"/>
        <s v="John Brown"/>
        <s v="Robert Sanchez"/>
        <s v="Megan Perez"/>
        <s v="Christine Caldwell"/>
        <s v="Jeremy Hahn"/>
        <s v="Matthew Gonzales"/>
        <s v="Angela Gonzalez"/>
        <s v="Tonya Scott"/>
        <s v="Rodney Lee"/>
        <s v="Amber Brown"/>
        <s v="Craig Brown"/>
        <s v="Denise Hall"/>
        <s v="Kimberly Buck"/>
        <s v="Christopher Sampson"/>
        <s v="Peter Neal"/>
        <s v="John Johnson"/>
        <s v="Gary Taylor"/>
        <s v="Brett Anderson"/>
        <s v="Stanley Adams"/>
        <s v="Michael Williams"/>
        <s v="Patricia Paul"/>
        <s v="Shawn Wilson"/>
        <s v="Robert Fletcher"/>
        <s v="Jonathan Palmer Jr."/>
        <s v="Katherine Rosales"/>
        <s v="Christopher Michael MD"/>
        <s v="Michael Myers"/>
        <s v="Steven Lee"/>
        <s v="Sara Willis"/>
        <s v="Allison Leach"/>
        <s v="Douglas Gomez"/>
        <s v="Glenda Berry"/>
        <s v="Patrick Vega"/>
        <s v="Brittney Phillips"/>
      </sharedItems>
    </cacheField>
    <cacheField name="State" numFmtId="0">
      <sharedItems count="10">
        <s v="Delta"/>
        <s v="Kaduna"/>
        <s v="Oyo"/>
        <s v="Enugu"/>
        <s v="Edo"/>
        <s v="Ogun"/>
        <s v="Kano"/>
        <s v="Lagos"/>
        <s v="Abuja"/>
        <s v="Rivers"/>
      </sharedItems>
    </cacheField>
    <cacheField name="Category" numFmtId="0">
      <sharedItems count="3">
        <s v="Furniture"/>
        <s v="Office Supplies"/>
        <s v="Electronics"/>
      </sharedItems>
    </cacheField>
    <cacheField name="Sub-Category" numFmtId="0">
      <sharedItems count="12">
        <s v="Sofas"/>
        <s v="Shelves"/>
        <s v="Paper"/>
        <s v="Tables"/>
        <s v="Chairs"/>
        <s v="Cabinets"/>
        <s v="Accessories"/>
        <s v="Staplers"/>
        <s v="Phones"/>
        <s v="TV"/>
        <s v="Laptops"/>
        <s v="Pens"/>
      </sharedItems>
    </cacheField>
    <cacheField name="Product Name" numFmtId="0">
      <sharedItems count="298">
        <s v="Sofas - Goal"/>
        <s v="Shelves - Success"/>
        <s v="Paper - Couple"/>
        <s v="Tables - Oil"/>
        <s v="Paper - Child"/>
        <s v="Chairs - Class"/>
        <s v="Chairs - Include"/>
        <s v="Shelves - Hope"/>
        <s v="Cabinets - Available"/>
        <s v="Paper - Among"/>
        <s v="Accessories - Do"/>
        <s v="Accessories - Care"/>
        <s v="Sofas - Herself"/>
        <s v="Accessories - Worker"/>
        <s v="Cabinets - While"/>
        <s v="Staplers - Now"/>
        <s v="Cabinets - Husband"/>
        <s v="Phones - Join"/>
        <s v="Shelves - Bank"/>
        <s v="Shelves - Born"/>
        <s v="Shelves - Consider"/>
        <s v="Shelves - Special"/>
        <s v="Shelves - Film"/>
        <s v="Accessories - Power"/>
        <s v="TV - Rather"/>
        <s v="Phones - With"/>
        <s v="Cabinets - Peace"/>
        <s v="Phones - Human"/>
        <s v="Accessories - Country"/>
        <s v="Cabinets - Card"/>
        <s v="Laptops - The"/>
        <s v="Shelves - Plan"/>
        <s v="Staplers - Discussion"/>
        <s v="Tables - Glass"/>
        <s v="Paper - Believe"/>
        <s v="Chairs - Power"/>
        <s v="Tables - Either"/>
        <s v="Phones - Nature"/>
        <s v="Accessories - Language"/>
        <s v="Laptops - Exactly"/>
        <s v="Staplers - Dream"/>
        <s v="Cabinets - Chance"/>
        <s v="Accessories - Maybe"/>
        <s v="Phones - That"/>
        <s v="TV - Project"/>
        <s v="Paper - Year"/>
        <s v="TV - Third"/>
        <s v="Cabinets - One"/>
        <s v="Chairs - Establish"/>
        <s v="Laptops - Write"/>
        <s v="Staplers - Right"/>
        <s v="Cabinets - Join"/>
        <s v="Phones - Into"/>
        <s v="Paper - Modern"/>
        <s v="Sofas - Father"/>
        <s v="Pens - Including"/>
        <s v="Tables - Drop"/>
        <s v="Paper - Small"/>
        <s v="Chairs - Traditional"/>
        <s v="Staplers - Cause"/>
        <s v="TV - People"/>
        <s v="Shelves - Positive"/>
        <s v="Chairs - Science"/>
        <s v="Chairs - Wall"/>
        <s v="Shelves - Walk"/>
        <s v="Tables - Seem"/>
        <s v="TV - Suggest"/>
        <s v="TV - Upon"/>
        <s v="Sofas - Mrs"/>
        <s v="Staplers - Meeting"/>
        <s v="Accessories - Brother"/>
        <s v="Cabinets - Lead"/>
        <s v="Accessories - Suggest"/>
        <s v="Pens - Thought"/>
        <s v="Staplers - Trouble"/>
        <s v="Staplers - Event"/>
        <s v="Sofas - South"/>
        <s v="Cabinets - President"/>
        <s v="Chairs - Keep"/>
        <s v="Shelves - And"/>
        <s v="Chairs - Claim"/>
        <s v="Laptops - Voice"/>
        <s v="Phones - Single"/>
        <s v="Staplers - Rate"/>
        <s v="Tables - Lead"/>
        <s v="Tables - Down"/>
        <s v="Cabinets - Around"/>
        <s v="Chairs - Usually"/>
        <s v="TV - Federal"/>
        <s v="Tables - Reason"/>
        <s v="Staplers - Apply"/>
        <s v="Paper - Money"/>
        <s v="Staplers - Enjoy"/>
        <s v="Laptops - Maybe"/>
        <s v="Chairs - Seek"/>
        <s v="Staplers - Growth"/>
        <s v="Pens - Worker"/>
        <s v="Sofas - Or"/>
        <s v="Phones - Rule"/>
        <s v="Laptops - Real"/>
        <s v="Shelves - Long"/>
        <s v="Tables - Would"/>
        <s v="Staplers - Market"/>
        <s v="Shelves - Expect"/>
        <s v="TV - Back"/>
        <s v="Chairs - Budget"/>
        <s v="Cabinets - Just"/>
        <s v="Accessories - Her"/>
        <s v="TV - Give"/>
        <s v="Accessories - Ten"/>
        <s v="Laptops - General"/>
        <s v="Sofas - Agreement"/>
        <s v="TV - Available"/>
        <s v="Cabinets - Structure"/>
        <s v="Paper - Wife"/>
        <s v="Sofas - Short"/>
        <s v="Staplers - Beautiful"/>
        <s v="TV - Push"/>
        <s v="Tables - Fast"/>
        <s v="Laptops - Table"/>
        <s v="Cabinets - Debate"/>
        <s v="TV - Authority"/>
        <s v="Laptops - Series"/>
        <s v="Sofas - Husband"/>
        <s v="Pens - Serve"/>
        <s v="Sofas - Trip"/>
        <s v="TV - While"/>
        <s v="Laptops - Pattern"/>
        <s v="Chairs - Standard"/>
        <s v="Sofas - Wife"/>
        <s v="Pens - Apply"/>
        <s v="Laptops - Again"/>
        <s v="Tables - Matter"/>
        <s v="Sofas - Born"/>
        <s v="Shelves - Compare"/>
        <s v="Paper - Section"/>
        <s v="Cabinets - Local"/>
        <s v="Pens - Actually"/>
        <s v="Shelves - Dark"/>
        <s v="Paper - Position"/>
        <s v="Chairs - Really"/>
        <s v="Sofas - Fight"/>
        <s v="Tables - About"/>
        <s v="TV - Central"/>
        <s v="Shelves - Figure"/>
        <s v="Staplers - Toward"/>
        <s v="Tables - Top"/>
        <s v="Pens - Cup"/>
        <s v="Paper - Expert"/>
        <s v="Pens - Other"/>
        <s v="Cabinets - Reason"/>
        <s v="Accessories - Offer"/>
        <s v="Paper - Mr"/>
        <s v="TV - Adult"/>
        <s v="Paper - Be"/>
        <s v="Laptops - Act"/>
        <s v="Shelves - Toward"/>
        <s v="TV - Purpose"/>
        <s v="Cabinets - Form"/>
        <s v="Pens - Exist"/>
        <s v="Cabinets - South"/>
        <s v="Tables - Phone"/>
        <s v="Phones - Force"/>
        <s v="Paper - Since"/>
        <s v="Shelves - Eye"/>
        <s v="Tables - Maybe"/>
        <s v="Phones - For"/>
        <s v="Staplers - Doctor"/>
        <s v="Phones - Cause"/>
        <s v="Phones - Him"/>
        <s v="Laptops - Of"/>
        <s v="TV - Star"/>
        <s v="Chairs - Process"/>
        <s v="Tables - Song"/>
        <s v="Cabinets - Finally"/>
        <s v="Accessories - Fill"/>
        <s v="Sofas - Picture"/>
        <s v="Accessories - Act"/>
        <s v="Cabinets - Choose"/>
        <s v="TV - Effort"/>
        <s v="Tables - Pass"/>
        <s v="Paper - Still"/>
        <s v="Phones - Agent"/>
        <s v="Shelves - Usually"/>
        <s v="Accessories - Fact"/>
        <s v="Laptops - Fact"/>
        <s v="TV - Different"/>
        <s v="Laptops - Water"/>
        <s v="Tables - Strong"/>
        <s v="Cabinets - Young"/>
        <s v="Chairs - Campaign"/>
        <s v="Accessories - Range"/>
        <s v="Cabinets - Explain"/>
        <s v="Sofas - Able"/>
        <s v="Sofas - Bit"/>
        <s v="Accessories - Happen"/>
        <s v="Staplers - Young"/>
        <s v="Accessories - Toward"/>
        <s v="Shelves - Put"/>
        <s v="Paper - Street"/>
        <s v="Pens - Manager"/>
        <s v="Tables - Standard"/>
        <s v="Shelves - Happy"/>
        <s v="Staplers - Concern"/>
        <s v="Pens - Attention"/>
        <s v="Shelves - Worry"/>
        <s v="Accessories - Participant"/>
        <s v="Chairs - Lawyer"/>
        <s v="Phones - Across"/>
        <s v="Laptops - Especially"/>
        <s v="Paper - Model"/>
        <s v="Phones - Economy"/>
        <s v="Pens - West"/>
        <s v="Staplers - Certain"/>
        <s v="Phones - Movement"/>
        <s v="Shelves - Summer"/>
        <s v="Paper - Onto"/>
        <s v="Shelves - Great"/>
        <s v="Accessories - Too"/>
        <s v="TV - Final"/>
        <s v="Tables - Goal"/>
        <s v="TV - Nature"/>
        <s v="Chairs - Bit"/>
        <s v="TV - Heavy"/>
        <s v="Chairs - For"/>
        <s v="Accessories - Staff"/>
        <s v="Cabinets - Magazine"/>
        <s v="Sofas - Commercial"/>
        <s v="Paper - Take"/>
        <s v="Staplers - Drive"/>
        <s v="Laptops - Everyone"/>
        <s v="Chairs - Either"/>
        <s v="Laptops - Improve"/>
        <s v="Staplers - Simply"/>
        <s v="Sofas - Growth"/>
        <s v="Sofas - Thus"/>
        <s v="Pens - Series"/>
        <s v="Staplers - Purpose"/>
        <s v="Cabinets - Hair"/>
        <s v="Laptops - Wish"/>
        <s v="Tables - Worry"/>
        <s v="Pens - Summer"/>
        <s v="Sofas - Pay"/>
        <s v="Chairs - Bad"/>
        <s v="Shelves - Region"/>
        <s v="Pens - Lose"/>
        <s v="Accessories - Former"/>
        <s v="TV - Air"/>
        <s v="Shelves - Address"/>
        <s v="Pens - Compare"/>
        <s v="Staplers - Maintain"/>
        <s v="Laptops - Consider"/>
        <s v="Accessories - System"/>
        <s v="TV - Political"/>
        <s v="TV - Important"/>
        <s v="Shelves - Home"/>
        <s v="Cabinets - Billion"/>
        <s v="Phones - College"/>
        <s v="Laptops - Century"/>
        <s v="Staplers - May"/>
        <s v="Phones - Option"/>
        <s v="Shelves - Account"/>
        <s v="Tables - He"/>
        <s v="Tables - Common"/>
        <s v="Laptops - Catch"/>
        <s v="TV - Study"/>
        <s v="Pens - Poor"/>
        <s v="Pens - Again"/>
        <s v="Chairs - Size"/>
        <s v="TV - Name"/>
        <s v="Accessories - Operation"/>
        <s v="Chairs - Necessary"/>
        <s v="TV - Huge"/>
        <s v="Laptops - Paper"/>
        <s v="Tables - Much"/>
        <s v="Chairs - Follow"/>
        <s v="Tables - Play"/>
        <s v="Phones - Body"/>
        <s v="Staplers - Improve"/>
        <s v="Tables - Stay"/>
        <s v="TV - Style"/>
        <s v="Laptops - Company"/>
        <s v="Sofas - The"/>
        <s v="Accessories - Us"/>
        <s v="Cabinets - Event"/>
        <s v="Paper - Person"/>
        <s v="Staplers - Fire"/>
        <s v="Shelves - Happen"/>
        <s v="Paper - Particular"/>
        <s v="Tables - Four"/>
        <s v="Paper - Develop"/>
        <s v="Laptops - Animal"/>
        <s v="Accessories - Top"/>
        <s v="Shelves - Assume"/>
        <s v="TV - There"/>
        <s v="TV - Teach"/>
        <s v="Paper - Similar"/>
        <s v="TV - Of"/>
      </sharedItems>
    </cacheField>
    <cacheField name="Sales" numFmtId="0">
      <sharedItems containsSemiMixedTypes="0" containsString="0" containsNumber="1" minValue="6959.54" maxValue="499411.38"/>
    </cacheField>
    <cacheField name="Quantity" numFmtId="0">
      <sharedItems containsSemiMixedTypes="0" containsString="0" containsNumber="1" containsInteger="1" minValue="1" maxValue="50"/>
    </cacheField>
    <cacheField name="Profit" numFmtId="0">
      <sharedItems containsSemiMixedTypes="0" containsString="0" containsNumber="1" minValue="619.30999999999995" maxValue="114890.12"/>
    </cacheField>
    <cacheField name="Month." numFmtId="0">
      <sharedItems count="12">
        <s v="October"/>
        <s v="November"/>
        <s v="May"/>
        <s v="August"/>
        <s v="July"/>
        <s v="April"/>
        <s v="January"/>
        <s v="September"/>
        <s v="February"/>
        <s v="December"/>
        <s v="June"/>
        <s v="March"/>
      </sharedItems>
    </cacheField>
    <cacheField name="Month2" numFmtId="0">
      <sharedItems containsSemiMixedTypes="0" containsString="0" containsNumber="1" containsInteger="1" minValue="1" maxValue="12"/>
    </cacheField>
    <cacheField name="Year" numFmtId="0">
      <sharedItems containsSemiMixedTypes="0" containsString="0" containsNumber="1" containsInteger="1" minValue="2024" maxValue="2025" count="2">
        <n v="2025"/>
        <n v="2024"/>
      </sharedItems>
    </cacheField>
  </cacheFields>
  <extLst>
    <ext xmlns:x14="http://schemas.microsoft.com/office/spreadsheetml/2009/9/main" uri="{725AE2AE-9491-48be-B2B4-4EB974FC3084}">
      <x14:pivotCacheDefinition pivotCacheId="648570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2025-10-17"/>
    <x v="0"/>
    <x v="0"/>
    <x v="0"/>
    <x v="0"/>
    <x v="0"/>
    <n v="134658.95000000001"/>
    <n v="34"/>
    <n v="9042.23"/>
    <x v="0"/>
    <n v="10"/>
    <x v="0"/>
  </r>
  <r>
    <s v="2025-11-14"/>
    <x v="1"/>
    <x v="1"/>
    <x v="0"/>
    <x v="1"/>
    <x v="1"/>
    <n v="386445.25"/>
    <n v="19"/>
    <n v="31503.599999999999"/>
    <x v="1"/>
    <n v="11"/>
    <x v="0"/>
  </r>
  <r>
    <s v="2024-05-07"/>
    <x v="2"/>
    <x v="2"/>
    <x v="1"/>
    <x v="2"/>
    <x v="2"/>
    <n v="94083.23"/>
    <n v="10"/>
    <n v="12229.6"/>
    <x v="2"/>
    <n v="5"/>
    <x v="1"/>
  </r>
  <r>
    <s v="2024-11-30"/>
    <x v="3"/>
    <x v="3"/>
    <x v="0"/>
    <x v="3"/>
    <x v="3"/>
    <n v="407283.73"/>
    <n v="6"/>
    <n v="83601.820000000007"/>
    <x v="1"/>
    <n v="11"/>
    <x v="1"/>
  </r>
  <r>
    <s v="2025-08-29"/>
    <x v="4"/>
    <x v="4"/>
    <x v="1"/>
    <x v="2"/>
    <x v="4"/>
    <n v="442576.35"/>
    <n v="3"/>
    <n v="107897.1"/>
    <x v="3"/>
    <n v="8"/>
    <x v="0"/>
  </r>
  <r>
    <s v="2024-07-18"/>
    <x v="5"/>
    <x v="5"/>
    <x v="1"/>
    <x v="4"/>
    <x v="5"/>
    <n v="58602.69"/>
    <n v="15"/>
    <n v="5881.71"/>
    <x v="4"/>
    <n v="7"/>
    <x v="1"/>
  </r>
  <r>
    <s v="2024-04-26"/>
    <x v="6"/>
    <x v="1"/>
    <x v="1"/>
    <x v="4"/>
    <x v="6"/>
    <n v="276343.03000000003"/>
    <n v="10"/>
    <n v="43395.89"/>
    <x v="5"/>
    <n v="4"/>
    <x v="1"/>
  </r>
  <r>
    <s v="2025-01-03"/>
    <x v="7"/>
    <x v="6"/>
    <x v="0"/>
    <x v="1"/>
    <x v="7"/>
    <n v="85478.41"/>
    <n v="48"/>
    <n v="18117.16"/>
    <x v="6"/>
    <n v="1"/>
    <x v="0"/>
  </r>
  <r>
    <s v="2025-09-10"/>
    <x v="8"/>
    <x v="7"/>
    <x v="0"/>
    <x v="5"/>
    <x v="8"/>
    <n v="8922.5400000000009"/>
    <n v="4"/>
    <n v="619.30999999999995"/>
    <x v="7"/>
    <n v="9"/>
    <x v="0"/>
  </r>
  <r>
    <s v="2024-01-04"/>
    <x v="9"/>
    <x v="1"/>
    <x v="1"/>
    <x v="2"/>
    <x v="9"/>
    <n v="366253.68"/>
    <n v="28"/>
    <n v="76678.850000000006"/>
    <x v="6"/>
    <n v="1"/>
    <x v="1"/>
  </r>
  <r>
    <s v="2024-10-14"/>
    <x v="10"/>
    <x v="6"/>
    <x v="2"/>
    <x v="6"/>
    <x v="10"/>
    <n v="247870.67"/>
    <n v="9"/>
    <n v="37293.199999999997"/>
    <x v="0"/>
    <n v="10"/>
    <x v="1"/>
  </r>
  <r>
    <s v="2025-11-11"/>
    <x v="11"/>
    <x v="6"/>
    <x v="2"/>
    <x v="6"/>
    <x v="11"/>
    <n v="380623.45"/>
    <n v="49"/>
    <n v="26726"/>
    <x v="1"/>
    <n v="11"/>
    <x v="0"/>
  </r>
  <r>
    <s v="2024-02-05"/>
    <x v="12"/>
    <x v="3"/>
    <x v="0"/>
    <x v="0"/>
    <x v="12"/>
    <n v="15063.51"/>
    <n v="30"/>
    <n v="1358.5"/>
    <x v="8"/>
    <n v="2"/>
    <x v="1"/>
  </r>
  <r>
    <s v="2025-07-21"/>
    <x v="13"/>
    <x v="2"/>
    <x v="2"/>
    <x v="6"/>
    <x v="13"/>
    <n v="476308.31"/>
    <n v="35"/>
    <n v="56839.97"/>
    <x v="4"/>
    <n v="7"/>
    <x v="0"/>
  </r>
  <r>
    <s v="2024-11-27"/>
    <x v="14"/>
    <x v="1"/>
    <x v="0"/>
    <x v="5"/>
    <x v="14"/>
    <n v="360823.33"/>
    <n v="27"/>
    <n v="86489.93"/>
    <x v="1"/>
    <n v="11"/>
    <x v="1"/>
  </r>
  <r>
    <s v="2024-10-21"/>
    <x v="15"/>
    <x v="5"/>
    <x v="1"/>
    <x v="7"/>
    <x v="15"/>
    <n v="304957.34999999998"/>
    <n v="22"/>
    <n v="66887.39"/>
    <x v="0"/>
    <n v="10"/>
    <x v="1"/>
  </r>
  <r>
    <s v="2024-11-29"/>
    <x v="16"/>
    <x v="1"/>
    <x v="0"/>
    <x v="5"/>
    <x v="16"/>
    <n v="420626.49"/>
    <n v="48"/>
    <n v="99269.7"/>
    <x v="1"/>
    <n v="11"/>
    <x v="1"/>
  </r>
  <r>
    <s v="2025-09-30"/>
    <x v="17"/>
    <x v="1"/>
    <x v="2"/>
    <x v="8"/>
    <x v="17"/>
    <n v="236898.52"/>
    <n v="20"/>
    <n v="47074.65"/>
    <x v="7"/>
    <n v="9"/>
    <x v="0"/>
  </r>
  <r>
    <s v="2024-12-08"/>
    <x v="18"/>
    <x v="7"/>
    <x v="0"/>
    <x v="1"/>
    <x v="18"/>
    <n v="499411.38"/>
    <n v="6"/>
    <n v="61901.62"/>
    <x v="9"/>
    <n v="12"/>
    <x v="1"/>
  </r>
  <r>
    <s v="2024-12-19"/>
    <x v="19"/>
    <x v="8"/>
    <x v="0"/>
    <x v="1"/>
    <x v="19"/>
    <n v="482540.14"/>
    <n v="40"/>
    <n v="47743.360000000001"/>
    <x v="9"/>
    <n v="12"/>
    <x v="1"/>
  </r>
  <r>
    <s v="2025-07-30"/>
    <x v="20"/>
    <x v="1"/>
    <x v="0"/>
    <x v="1"/>
    <x v="20"/>
    <n v="115298.71"/>
    <n v="27"/>
    <n v="12601.04"/>
    <x v="4"/>
    <n v="7"/>
    <x v="0"/>
  </r>
  <r>
    <s v="2024-07-22"/>
    <x v="21"/>
    <x v="2"/>
    <x v="0"/>
    <x v="1"/>
    <x v="21"/>
    <n v="113539.06"/>
    <n v="8"/>
    <n v="7816.46"/>
    <x v="4"/>
    <n v="7"/>
    <x v="1"/>
  </r>
  <r>
    <s v="2025-02-15"/>
    <x v="22"/>
    <x v="9"/>
    <x v="0"/>
    <x v="1"/>
    <x v="22"/>
    <n v="299164.5"/>
    <n v="49"/>
    <n v="27515.67"/>
    <x v="8"/>
    <n v="2"/>
    <x v="0"/>
  </r>
  <r>
    <s v="2025-06-17"/>
    <x v="23"/>
    <x v="3"/>
    <x v="2"/>
    <x v="6"/>
    <x v="23"/>
    <n v="92057.56"/>
    <n v="10"/>
    <n v="11477.81"/>
    <x v="10"/>
    <n v="6"/>
    <x v="0"/>
  </r>
  <r>
    <s v="2024-08-17"/>
    <x v="24"/>
    <x v="6"/>
    <x v="2"/>
    <x v="9"/>
    <x v="24"/>
    <n v="158051.63"/>
    <n v="31"/>
    <n v="25535.25"/>
    <x v="3"/>
    <n v="8"/>
    <x v="1"/>
  </r>
  <r>
    <s v="2025-03-20"/>
    <x v="25"/>
    <x v="3"/>
    <x v="2"/>
    <x v="8"/>
    <x v="25"/>
    <n v="278135.06"/>
    <n v="7"/>
    <n v="48623.57"/>
    <x v="11"/>
    <n v="3"/>
    <x v="0"/>
  </r>
  <r>
    <s v="2024-02-02"/>
    <x v="26"/>
    <x v="8"/>
    <x v="0"/>
    <x v="5"/>
    <x v="26"/>
    <n v="210951.21"/>
    <n v="29"/>
    <n v="22077.07"/>
    <x v="8"/>
    <n v="2"/>
    <x v="1"/>
  </r>
  <r>
    <s v="2024-05-15"/>
    <x v="27"/>
    <x v="8"/>
    <x v="2"/>
    <x v="8"/>
    <x v="27"/>
    <n v="434051.67"/>
    <n v="17"/>
    <n v="32400.06"/>
    <x v="2"/>
    <n v="5"/>
    <x v="1"/>
  </r>
  <r>
    <s v="2025-07-16"/>
    <x v="28"/>
    <x v="6"/>
    <x v="2"/>
    <x v="6"/>
    <x v="28"/>
    <n v="201093.91"/>
    <n v="46"/>
    <n v="49438.559999999998"/>
    <x v="4"/>
    <n v="7"/>
    <x v="0"/>
  </r>
  <r>
    <s v="2025-09-22"/>
    <x v="29"/>
    <x v="7"/>
    <x v="0"/>
    <x v="5"/>
    <x v="29"/>
    <n v="475888.01"/>
    <n v="49"/>
    <n v="29708.03"/>
    <x v="7"/>
    <n v="9"/>
    <x v="0"/>
  </r>
  <r>
    <s v="2024-12-13"/>
    <x v="30"/>
    <x v="0"/>
    <x v="2"/>
    <x v="10"/>
    <x v="30"/>
    <n v="124977.14"/>
    <n v="8"/>
    <n v="19031.07"/>
    <x v="9"/>
    <n v="12"/>
    <x v="1"/>
  </r>
  <r>
    <s v="2024-10-10"/>
    <x v="31"/>
    <x v="6"/>
    <x v="0"/>
    <x v="1"/>
    <x v="31"/>
    <n v="192533"/>
    <n v="28"/>
    <n v="13640.77"/>
    <x v="0"/>
    <n v="10"/>
    <x v="1"/>
  </r>
  <r>
    <s v="2025-09-10"/>
    <x v="32"/>
    <x v="7"/>
    <x v="1"/>
    <x v="7"/>
    <x v="32"/>
    <n v="377685.79"/>
    <n v="39"/>
    <n v="62449.8"/>
    <x v="7"/>
    <n v="9"/>
    <x v="0"/>
  </r>
  <r>
    <s v="2025-04-02"/>
    <x v="33"/>
    <x v="1"/>
    <x v="0"/>
    <x v="3"/>
    <x v="33"/>
    <n v="99388.97"/>
    <n v="16"/>
    <n v="17174.740000000002"/>
    <x v="5"/>
    <n v="4"/>
    <x v="0"/>
  </r>
  <r>
    <s v="2024-06-22"/>
    <x v="34"/>
    <x v="2"/>
    <x v="1"/>
    <x v="2"/>
    <x v="34"/>
    <n v="483902.13"/>
    <n v="4"/>
    <n v="93584.41"/>
    <x v="10"/>
    <n v="6"/>
    <x v="1"/>
  </r>
  <r>
    <s v="2025-07-10"/>
    <x v="35"/>
    <x v="7"/>
    <x v="1"/>
    <x v="4"/>
    <x v="35"/>
    <n v="178790.9"/>
    <n v="16"/>
    <n v="25218.46"/>
    <x v="4"/>
    <n v="7"/>
    <x v="0"/>
  </r>
  <r>
    <s v="2025-10-31"/>
    <x v="36"/>
    <x v="6"/>
    <x v="0"/>
    <x v="3"/>
    <x v="36"/>
    <n v="480150.68"/>
    <n v="36"/>
    <n v="100569.41"/>
    <x v="0"/>
    <n v="10"/>
    <x v="0"/>
  </r>
  <r>
    <s v="2025-04-05"/>
    <x v="37"/>
    <x v="7"/>
    <x v="2"/>
    <x v="8"/>
    <x v="37"/>
    <n v="32214"/>
    <n v="42"/>
    <n v="3416.05"/>
    <x v="5"/>
    <n v="4"/>
    <x v="0"/>
  </r>
  <r>
    <s v="2025-02-16"/>
    <x v="38"/>
    <x v="2"/>
    <x v="2"/>
    <x v="6"/>
    <x v="38"/>
    <n v="65595.94"/>
    <n v="32"/>
    <n v="13399.45"/>
    <x v="8"/>
    <n v="2"/>
    <x v="0"/>
  </r>
  <r>
    <s v="2024-12-03"/>
    <x v="39"/>
    <x v="2"/>
    <x v="2"/>
    <x v="10"/>
    <x v="39"/>
    <n v="274538.23"/>
    <n v="39"/>
    <n v="64791.199999999997"/>
    <x v="9"/>
    <n v="12"/>
    <x v="1"/>
  </r>
  <r>
    <s v="2025-11-28"/>
    <x v="40"/>
    <x v="7"/>
    <x v="1"/>
    <x v="7"/>
    <x v="40"/>
    <n v="43077.95"/>
    <n v="3"/>
    <n v="4910.8"/>
    <x v="1"/>
    <n v="11"/>
    <x v="0"/>
  </r>
  <r>
    <s v="2025-09-14"/>
    <x v="41"/>
    <x v="1"/>
    <x v="0"/>
    <x v="5"/>
    <x v="41"/>
    <n v="327969.48"/>
    <n v="34"/>
    <n v="41484.81"/>
    <x v="7"/>
    <n v="9"/>
    <x v="0"/>
  </r>
  <r>
    <s v="2025-01-25"/>
    <x v="42"/>
    <x v="4"/>
    <x v="2"/>
    <x v="6"/>
    <x v="42"/>
    <n v="298040.71999999997"/>
    <n v="20"/>
    <n v="22748.66"/>
    <x v="6"/>
    <n v="1"/>
    <x v="0"/>
  </r>
  <r>
    <s v="2025-07-14"/>
    <x v="43"/>
    <x v="3"/>
    <x v="2"/>
    <x v="8"/>
    <x v="43"/>
    <n v="106636.39"/>
    <n v="31"/>
    <n v="23391.61"/>
    <x v="4"/>
    <n v="7"/>
    <x v="0"/>
  </r>
  <r>
    <s v="2025-05-24"/>
    <x v="44"/>
    <x v="6"/>
    <x v="2"/>
    <x v="9"/>
    <x v="44"/>
    <n v="307039.42"/>
    <n v="4"/>
    <n v="39808.589999999997"/>
    <x v="2"/>
    <n v="5"/>
    <x v="0"/>
  </r>
  <r>
    <s v="2024-11-20"/>
    <x v="45"/>
    <x v="3"/>
    <x v="1"/>
    <x v="2"/>
    <x v="45"/>
    <n v="88172.25"/>
    <n v="4"/>
    <n v="18398.650000000001"/>
    <x v="1"/>
    <n v="11"/>
    <x v="1"/>
  </r>
  <r>
    <s v="2024-07-07"/>
    <x v="46"/>
    <x v="2"/>
    <x v="2"/>
    <x v="9"/>
    <x v="46"/>
    <n v="303610.96000000002"/>
    <n v="14"/>
    <n v="68521.22"/>
    <x v="4"/>
    <n v="7"/>
    <x v="1"/>
  </r>
  <r>
    <s v="2025-09-30"/>
    <x v="47"/>
    <x v="0"/>
    <x v="0"/>
    <x v="5"/>
    <x v="47"/>
    <n v="283900.38"/>
    <n v="5"/>
    <n v="52350.04"/>
    <x v="7"/>
    <n v="9"/>
    <x v="0"/>
  </r>
  <r>
    <s v="2025-09-23"/>
    <x v="48"/>
    <x v="2"/>
    <x v="1"/>
    <x v="4"/>
    <x v="48"/>
    <n v="309129.84000000003"/>
    <n v="15"/>
    <n v="32486.98"/>
    <x v="7"/>
    <n v="9"/>
    <x v="0"/>
  </r>
  <r>
    <s v="2025-10-29"/>
    <x v="49"/>
    <x v="6"/>
    <x v="2"/>
    <x v="10"/>
    <x v="49"/>
    <n v="437797.07"/>
    <n v="43"/>
    <n v="108957.54"/>
    <x v="0"/>
    <n v="10"/>
    <x v="0"/>
  </r>
  <r>
    <s v="2025-07-12"/>
    <x v="50"/>
    <x v="8"/>
    <x v="1"/>
    <x v="7"/>
    <x v="50"/>
    <n v="199972.59"/>
    <n v="2"/>
    <n v="28988.49"/>
    <x v="4"/>
    <n v="7"/>
    <x v="0"/>
  </r>
  <r>
    <s v="2025-07-08"/>
    <x v="51"/>
    <x v="6"/>
    <x v="0"/>
    <x v="5"/>
    <x v="51"/>
    <n v="386745.7"/>
    <n v="50"/>
    <n v="25380.81"/>
    <x v="4"/>
    <n v="7"/>
    <x v="0"/>
  </r>
  <r>
    <s v="2024-08-24"/>
    <x v="52"/>
    <x v="0"/>
    <x v="2"/>
    <x v="8"/>
    <x v="52"/>
    <n v="443591.54"/>
    <n v="24"/>
    <n v="36638.25"/>
    <x v="3"/>
    <n v="8"/>
    <x v="1"/>
  </r>
  <r>
    <s v="2024-07-01"/>
    <x v="53"/>
    <x v="4"/>
    <x v="1"/>
    <x v="2"/>
    <x v="53"/>
    <n v="405119.25"/>
    <n v="36"/>
    <n v="81535.59"/>
    <x v="4"/>
    <n v="7"/>
    <x v="1"/>
  </r>
  <r>
    <s v="2025-09-03"/>
    <x v="54"/>
    <x v="5"/>
    <x v="0"/>
    <x v="0"/>
    <x v="54"/>
    <n v="35142.269999999997"/>
    <n v="43"/>
    <n v="4874.6099999999997"/>
    <x v="7"/>
    <n v="9"/>
    <x v="0"/>
  </r>
  <r>
    <s v="2025-03-20"/>
    <x v="55"/>
    <x v="7"/>
    <x v="1"/>
    <x v="11"/>
    <x v="55"/>
    <n v="199439.61"/>
    <n v="18"/>
    <n v="46253.98"/>
    <x v="11"/>
    <n v="3"/>
    <x v="0"/>
  </r>
  <r>
    <s v="2025-10-28"/>
    <x v="56"/>
    <x v="7"/>
    <x v="0"/>
    <x v="3"/>
    <x v="56"/>
    <n v="112493.23"/>
    <n v="48"/>
    <n v="26018.19"/>
    <x v="0"/>
    <n v="10"/>
    <x v="0"/>
  </r>
  <r>
    <s v="2025-03-16"/>
    <x v="57"/>
    <x v="7"/>
    <x v="1"/>
    <x v="2"/>
    <x v="57"/>
    <n v="182815.13"/>
    <n v="17"/>
    <n v="16087.05"/>
    <x v="11"/>
    <n v="3"/>
    <x v="0"/>
  </r>
  <r>
    <s v="2024-12-29"/>
    <x v="58"/>
    <x v="5"/>
    <x v="1"/>
    <x v="4"/>
    <x v="58"/>
    <n v="158378.25"/>
    <n v="43"/>
    <n v="29036.45"/>
    <x v="9"/>
    <n v="12"/>
    <x v="1"/>
  </r>
  <r>
    <s v="2025-02-16"/>
    <x v="59"/>
    <x v="6"/>
    <x v="1"/>
    <x v="7"/>
    <x v="59"/>
    <n v="26564.38"/>
    <n v="4"/>
    <n v="4701.87"/>
    <x v="8"/>
    <n v="2"/>
    <x v="0"/>
  </r>
  <r>
    <s v="2025-07-03"/>
    <x v="60"/>
    <x v="6"/>
    <x v="2"/>
    <x v="9"/>
    <x v="60"/>
    <n v="217841.62"/>
    <n v="25"/>
    <n v="53367.06"/>
    <x v="4"/>
    <n v="7"/>
    <x v="0"/>
  </r>
  <r>
    <s v="2024-02-17"/>
    <x v="61"/>
    <x v="2"/>
    <x v="0"/>
    <x v="1"/>
    <x v="61"/>
    <n v="13213.89"/>
    <n v="50"/>
    <n v="703.57"/>
    <x v="8"/>
    <n v="2"/>
    <x v="1"/>
  </r>
  <r>
    <s v="2024-10-11"/>
    <x v="62"/>
    <x v="5"/>
    <x v="1"/>
    <x v="4"/>
    <x v="62"/>
    <n v="124685.24"/>
    <n v="6"/>
    <n v="16753.009999999998"/>
    <x v="0"/>
    <n v="10"/>
    <x v="1"/>
  </r>
  <r>
    <s v="2024-01-27"/>
    <x v="63"/>
    <x v="9"/>
    <x v="1"/>
    <x v="4"/>
    <x v="63"/>
    <n v="163497.85"/>
    <n v="4"/>
    <n v="17570.240000000002"/>
    <x v="6"/>
    <n v="1"/>
    <x v="1"/>
  </r>
  <r>
    <s v="2024-02-22"/>
    <x v="64"/>
    <x v="5"/>
    <x v="0"/>
    <x v="1"/>
    <x v="64"/>
    <n v="78552.509999999995"/>
    <n v="29"/>
    <n v="19021.62"/>
    <x v="8"/>
    <n v="2"/>
    <x v="1"/>
  </r>
  <r>
    <s v="2025-09-20"/>
    <x v="65"/>
    <x v="7"/>
    <x v="0"/>
    <x v="3"/>
    <x v="65"/>
    <n v="381289.89"/>
    <n v="4"/>
    <n v="22854.26"/>
    <x v="7"/>
    <n v="9"/>
    <x v="0"/>
  </r>
  <r>
    <s v="2025-07-06"/>
    <x v="66"/>
    <x v="5"/>
    <x v="2"/>
    <x v="9"/>
    <x v="66"/>
    <n v="183972.37"/>
    <n v="37"/>
    <n v="10306.280000000001"/>
    <x v="4"/>
    <n v="7"/>
    <x v="0"/>
  </r>
  <r>
    <s v="2025-07-25"/>
    <x v="67"/>
    <x v="6"/>
    <x v="2"/>
    <x v="9"/>
    <x v="67"/>
    <n v="288932.52"/>
    <n v="36"/>
    <n v="67400.95"/>
    <x v="4"/>
    <n v="7"/>
    <x v="0"/>
  </r>
  <r>
    <s v="2025-03-31"/>
    <x v="68"/>
    <x v="0"/>
    <x v="0"/>
    <x v="0"/>
    <x v="68"/>
    <n v="350772.61"/>
    <n v="19"/>
    <n v="52169.79"/>
    <x v="11"/>
    <n v="3"/>
    <x v="0"/>
  </r>
  <r>
    <s v="2024-08-31"/>
    <x v="69"/>
    <x v="3"/>
    <x v="1"/>
    <x v="7"/>
    <x v="69"/>
    <n v="370422.55"/>
    <n v="23"/>
    <n v="71048.639999999999"/>
    <x v="3"/>
    <n v="8"/>
    <x v="1"/>
  </r>
  <r>
    <s v="2025-02-15"/>
    <x v="70"/>
    <x v="5"/>
    <x v="2"/>
    <x v="6"/>
    <x v="70"/>
    <n v="390838.73"/>
    <n v="8"/>
    <n v="28712.47"/>
    <x v="8"/>
    <n v="2"/>
    <x v="0"/>
  </r>
  <r>
    <s v="2024-05-26"/>
    <x v="71"/>
    <x v="0"/>
    <x v="0"/>
    <x v="5"/>
    <x v="71"/>
    <n v="128661.58"/>
    <n v="13"/>
    <n v="17659.28"/>
    <x v="2"/>
    <n v="5"/>
    <x v="1"/>
  </r>
  <r>
    <s v="2025-12-31"/>
    <x v="72"/>
    <x v="8"/>
    <x v="2"/>
    <x v="6"/>
    <x v="72"/>
    <n v="369092.13"/>
    <n v="10"/>
    <n v="76722.259999999995"/>
    <x v="9"/>
    <n v="12"/>
    <x v="0"/>
  </r>
  <r>
    <s v="2025-01-03"/>
    <x v="73"/>
    <x v="7"/>
    <x v="1"/>
    <x v="11"/>
    <x v="73"/>
    <n v="51684.91"/>
    <n v="34"/>
    <n v="4840.18"/>
    <x v="6"/>
    <n v="1"/>
    <x v="0"/>
  </r>
  <r>
    <s v="2024-03-31"/>
    <x v="74"/>
    <x v="9"/>
    <x v="1"/>
    <x v="7"/>
    <x v="74"/>
    <n v="76392.800000000003"/>
    <n v="3"/>
    <n v="15555.5"/>
    <x v="11"/>
    <n v="3"/>
    <x v="1"/>
  </r>
  <r>
    <s v="2024-10-17"/>
    <x v="75"/>
    <x v="6"/>
    <x v="1"/>
    <x v="7"/>
    <x v="75"/>
    <n v="122938.21"/>
    <n v="3"/>
    <n v="11028.24"/>
    <x v="0"/>
    <n v="10"/>
    <x v="1"/>
  </r>
  <r>
    <s v="2025-10-13"/>
    <x v="76"/>
    <x v="4"/>
    <x v="0"/>
    <x v="0"/>
    <x v="76"/>
    <n v="87928.51"/>
    <n v="21"/>
    <n v="17194.96"/>
    <x v="0"/>
    <n v="10"/>
    <x v="0"/>
  </r>
  <r>
    <s v="2024-01-06"/>
    <x v="77"/>
    <x v="7"/>
    <x v="0"/>
    <x v="5"/>
    <x v="77"/>
    <n v="130963.46"/>
    <n v="44"/>
    <n v="19088.98"/>
    <x v="6"/>
    <n v="1"/>
    <x v="1"/>
  </r>
  <r>
    <s v="2025-07-02"/>
    <x v="78"/>
    <x v="0"/>
    <x v="1"/>
    <x v="4"/>
    <x v="78"/>
    <n v="477512.63"/>
    <n v="22"/>
    <n v="68596.36"/>
    <x v="4"/>
    <n v="7"/>
    <x v="0"/>
  </r>
  <r>
    <s v="2024-11-06"/>
    <x v="79"/>
    <x v="8"/>
    <x v="0"/>
    <x v="1"/>
    <x v="79"/>
    <n v="162578.26999999999"/>
    <n v="48"/>
    <n v="18398.580000000002"/>
    <x v="1"/>
    <n v="11"/>
    <x v="1"/>
  </r>
  <r>
    <s v="2025-07-27"/>
    <x v="80"/>
    <x v="2"/>
    <x v="1"/>
    <x v="4"/>
    <x v="80"/>
    <n v="295061.24"/>
    <n v="42"/>
    <n v="23766.33"/>
    <x v="4"/>
    <n v="7"/>
    <x v="0"/>
  </r>
  <r>
    <s v="2024-09-25"/>
    <x v="81"/>
    <x v="5"/>
    <x v="2"/>
    <x v="10"/>
    <x v="81"/>
    <n v="460104.79"/>
    <n v="22"/>
    <n v="83575.08"/>
    <x v="7"/>
    <n v="9"/>
    <x v="1"/>
  </r>
  <r>
    <s v="2024-07-01"/>
    <x v="82"/>
    <x v="4"/>
    <x v="2"/>
    <x v="8"/>
    <x v="82"/>
    <n v="453761.29"/>
    <n v="37"/>
    <n v="54768.51"/>
    <x v="4"/>
    <n v="7"/>
    <x v="1"/>
  </r>
  <r>
    <s v="2025-06-25"/>
    <x v="83"/>
    <x v="1"/>
    <x v="1"/>
    <x v="7"/>
    <x v="83"/>
    <n v="138226.20000000001"/>
    <n v="30"/>
    <n v="25333.13"/>
    <x v="10"/>
    <n v="6"/>
    <x v="0"/>
  </r>
  <r>
    <s v="2024-08-27"/>
    <x v="84"/>
    <x v="7"/>
    <x v="0"/>
    <x v="3"/>
    <x v="84"/>
    <n v="184407.39"/>
    <n v="12"/>
    <n v="16967.95"/>
    <x v="3"/>
    <n v="8"/>
    <x v="1"/>
  </r>
  <r>
    <s v="2025-04-16"/>
    <x v="85"/>
    <x v="7"/>
    <x v="0"/>
    <x v="3"/>
    <x v="85"/>
    <n v="152064.98000000001"/>
    <n v="7"/>
    <n v="24325.05"/>
    <x v="5"/>
    <n v="4"/>
    <x v="0"/>
  </r>
  <r>
    <s v="2025-01-01"/>
    <x v="86"/>
    <x v="6"/>
    <x v="0"/>
    <x v="5"/>
    <x v="86"/>
    <n v="168298.28"/>
    <n v="1"/>
    <n v="28314.959999999999"/>
    <x v="6"/>
    <n v="1"/>
    <x v="0"/>
  </r>
  <r>
    <s v="2024-03-18"/>
    <x v="87"/>
    <x v="5"/>
    <x v="1"/>
    <x v="4"/>
    <x v="87"/>
    <n v="306489.2"/>
    <n v="18"/>
    <n v="38566.53"/>
    <x v="11"/>
    <n v="3"/>
    <x v="1"/>
  </r>
  <r>
    <s v="2024-07-31"/>
    <x v="88"/>
    <x v="8"/>
    <x v="2"/>
    <x v="9"/>
    <x v="88"/>
    <n v="163422.35999999999"/>
    <n v="3"/>
    <n v="14877.12"/>
    <x v="4"/>
    <n v="7"/>
    <x v="1"/>
  </r>
  <r>
    <s v="2025-04-28"/>
    <x v="89"/>
    <x v="1"/>
    <x v="0"/>
    <x v="3"/>
    <x v="89"/>
    <n v="458239.69"/>
    <n v="20"/>
    <n v="28073.05"/>
    <x v="5"/>
    <n v="4"/>
    <x v="0"/>
  </r>
  <r>
    <s v="2025-03-21"/>
    <x v="90"/>
    <x v="9"/>
    <x v="1"/>
    <x v="7"/>
    <x v="90"/>
    <n v="9715.24"/>
    <n v="39"/>
    <n v="1011.56"/>
    <x v="11"/>
    <n v="3"/>
    <x v="0"/>
  </r>
  <r>
    <s v="2025-05-19"/>
    <x v="91"/>
    <x v="8"/>
    <x v="1"/>
    <x v="2"/>
    <x v="91"/>
    <n v="159867.62"/>
    <n v="1"/>
    <n v="37016.47"/>
    <x v="2"/>
    <n v="5"/>
    <x v="0"/>
  </r>
  <r>
    <s v="2025-10-26"/>
    <x v="92"/>
    <x v="8"/>
    <x v="1"/>
    <x v="7"/>
    <x v="92"/>
    <n v="338510.19"/>
    <n v="13"/>
    <n v="74271.58"/>
    <x v="0"/>
    <n v="10"/>
    <x v="0"/>
  </r>
  <r>
    <s v="2024-08-16"/>
    <x v="93"/>
    <x v="5"/>
    <x v="2"/>
    <x v="10"/>
    <x v="93"/>
    <n v="68714.759999999995"/>
    <n v="43"/>
    <n v="10635.19"/>
    <x v="3"/>
    <n v="8"/>
    <x v="1"/>
  </r>
  <r>
    <s v="2024-12-11"/>
    <x v="94"/>
    <x v="9"/>
    <x v="1"/>
    <x v="4"/>
    <x v="94"/>
    <n v="42840.65"/>
    <n v="49"/>
    <n v="3780.68"/>
    <x v="9"/>
    <n v="12"/>
    <x v="1"/>
  </r>
  <r>
    <s v="2025-10-19"/>
    <x v="95"/>
    <x v="6"/>
    <x v="1"/>
    <x v="7"/>
    <x v="95"/>
    <n v="284601.63"/>
    <n v="25"/>
    <n v="44718.97"/>
    <x v="0"/>
    <n v="10"/>
    <x v="0"/>
  </r>
  <r>
    <s v="2025-04-25"/>
    <x v="96"/>
    <x v="8"/>
    <x v="1"/>
    <x v="11"/>
    <x v="96"/>
    <n v="270363.52000000002"/>
    <n v="30"/>
    <n v="61015.9"/>
    <x v="5"/>
    <n v="4"/>
    <x v="0"/>
  </r>
  <r>
    <s v="2025-03-22"/>
    <x v="97"/>
    <x v="4"/>
    <x v="0"/>
    <x v="0"/>
    <x v="97"/>
    <n v="292044.78999999998"/>
    <n v="36"/>
    <n v="23377.49"/>
    <x v="11"/>
    <n v="3"/>
    <x v="0"/>
  </r>
  <r>
    <s v="2025-11-10"/>
    <x v="98"/>
    <x v="5"/>
    <x v="2"/>
    <x v="8"/>
    <x v="98"/>
    <n v="390052.72"/>
    <n v="2"/>
    <n v="76655.990000000005"/>
    <x v="1"/>
    <n v="11"/>
    <x v="0"/>
  </r>
  <r>
    <s v="2024-04-23"/>
    <x v="99"/>
    <x v="9"/>
    <x v="2"/>
    <x v="10"/>
    <x v="99"/>
    <n v="104393.27"/>
    <n v="46"/>
    <n v="14689.35"/>
    <x v="5"/>
    <n v="4"/>
    <x v="1"/>
  </r>
  <r>
    <s v="2025-10-02"/>
    <x v="100"/>
    <x v="9"/>
    <x v="0"/>
    <x v="1"/>
    <x v="100"/>
    <n v="309430.52"/>
    <n v="24"/>
    <n v="31428.48"/>
    <x v="0"/>
    <n v="10"/>
    <x v="0"/>
  </r>
  <r>
    <s v="2025-05-15"/>
    <x v="101"/>
    <x v="6"/>
    <x v="0"/>
    <x v="3"/>
    <x v="101"/>
    <n v="367944.55"/>
    <n v="49"/>
    <n v="75245.05"/>
    <x v="2"/>
    <n v="5"/>
    <x v="0"/>
  </r>
  <r>
    <s v="2025-07-04"/>
    <x v="102"/>
    <x v="7"/>
    <x v="1"/>
    <x v="7"/>
    <x v="102"/>
    <n v="294154.18"/>
    <n v="10"/>
    <n v="66481.17"/>
    <x v="4"/>
    <n v="7"/>
    <x v="0"/>
  </r>
  <r>
    <s v="2025-04-11"/>
    <x v="103"/>
    <x v="5"/>
    <x v="0"/>
    <x v="1"/>
    <x v="103"/>
    <n v="476236.79"/>
    <n v="10"/>
    <n v="80491.320000000007"/>
    <x v="5"/>
    <n v="4"/>
    <x v="0"/>
  </r>
  <r>
    <s v="2024-01-03"/>
    <x v="104"/>
    <x v="4"/>
    <x v="2"/>
    <x v="9"/>
    <x v="104"/>
    <n v="99537.02"/>
    <n v="50"/>
    <n v="8447.84"/>
    <x v="6"/>
    <n v="1"/>
    <x v="1"/>
  </r>
  <r>
    <s v="2025-04-10"/>
    <x v="105"/>
    <x v="6"/>
    <x v="1"/>
    <x v="4"/>
    <x v="105"/>
    <n v="138341.1"/>
    <n v="7"/>
    <n v="14103.78"/>
    <x v="5"/>
    <n v="4"/>
    <x v="0"/>
  </r>
  <r>
    <s v="2024-10-20"/>
    <x v="106"/>
    <x v="2"/>
    <x v="0"/>
    <x v="5"/>
    <x v="106"/>
    <n v="338393.27"/>
    <n v="10"/>
    <n v="66319.58"/>
    <x v="0"/>
    <n v="10"/>
    <x v="1"/>
  </r>
  <r>
    <s v="2025-03-21"/>
    <x v="107"/>
    <x v="7"/>
    <x v="2"/>
    <x v="6"/>
    <x v="107"/>
    <n v="378357.07"/>
    <n v="3"/>
    <n v="69971.990000000005"/>
    <x v="11"/>
    <n v="3"/>
    <x v="0"/>
  </r>
  <r>
    <s v="2025-10-13"/>
    <x v="108"/>
    <x v="4"/>
    <x v="2"/>
    <x v="9"/>
    <x v="108"/>
    <n v="102548.34"/>
    <n v="26"/>
    <n v="11401.45"/>
    <x v="0"/>
    <n v="10"/>
    <x v="0"/>
  </r>
  <r>
    <s v="2025-03-09"/>
    <x v="109"/>
    <x v="5"/>
    <x v="2"/>
    <x v="6"/>
    <x v="109"/>
    <n v="298780.45"/>
    <n v="10"/>
    <n v="45188.02"/>
    <x v="11"/>
    <n v="3"/>
    <x v="0"/>
  </r>
  <r>
    <s v="2025-07-31"/>
    <x v="110"/>
    <x v="7"/>
    <x v="2"/>
    <x v="10"/>
    <x v="110"/>
    <n v="222549.26"/>
    <n v="5"/>
    <n v="20964.09"/>
    <x v="4"/>
    <n v="7"/>
    <x v="0"/>
  </r>
  <r>
    <s v="2024-11-02"/>
    <x v="111"/>
    <x v="0"/>
    <x v="0"/>
    <x v="0"/>
    <x v="111"/>
    <n v="206677.71"/>
    <n v="3"/>
    <n v="31263.24"/>
    <x v="1"/>
    <n v="11"/>
    <x v="1"/>
  </r>
  <r>
    <s v="2025-06-09"/>
    <x v="112"/>
    <x v="4"/>
    <x v="2"/>
    <x v="9"/>
    <x v="112"/>
    <n v="469486.65"/>
    <n v="9"/>
    <n v="53664.73"/>
    <x v="10"/>
    <n v="6"/>
    <x v="0"/>
  </r>
  <r>
    <s v="2024-05-14"/>
    <x v="113"/>
    <x v="7"/>
    <x v="0"/>
    <x v="5"/>
    <x v="113"/>
    <n v="132615.29999999999"/>
    <n v="4"/>
    <n v="17986.87"/>
    <x v="2"/>
    <n v="5"/>
    <x v="1"/>
  </r>
  <r>
    <s v="2025-07-27"/>
    <x v="114"/>
    <x v="0"/>
    <x v="1"/>
    <x v="2"/>
    <x v="114"/>
    <n v="328274.63"/>
    <n v="12"/>
    <n v="30740.51"/>
    <x v="4"/>
    <n v="7"/>
    <x v="0"/>
  </r>
  <r>
    <s v="2025-05-03"/>
    <x v="115"/>
    <x v="4"/>
    <x v="0"/>
    <x v="0"/>
    <x v="115"/>
    <n v="369438.6"/>
    <n v="39"/>
    <n v="89104.14"/>
    <x v="2"/>
    <n v="5"/>
    <x v="0"/>
  </r>
  <r>
    <s v="2024-05-31"/>
    <x v="116"/>
    <x v="7"/>
    <x v="1"/>
    <x v="7"/>
    <x v="116"/>
    <n v="451101.74"/>
    <n v="29"/>
    <n v="65752.75"/>
    <x v="2"/>
    <n v="5"/>
    <x v="1"/>
  </r>
  <r>
    <s v="2024-11-26"/>
    <x v="117"/>
    <x v="0"/>
    <x v="2"/>
    <x v="9"/>
    <x v="117"/>
    <n v="303456.24"/>
    <n v="49"/>
    <n v="18927.509999999998"/>
    <x v="1"/>
    <n v="11"/>
    <x v="1"/>
  </r>
  <r>
    <s v="2024-03-27"/>
    <x v="118"/>
    <x v="4"/>
    <x v="0"/>
    <x v="3"/>
    <x v="118"/>
    <n v="410928.13"/>
    <n v="4"/>
    <n v="75687.320000000007"/>
    <x v="11"/>
    <n v="3"/>
    <x v="1"/>
  </r>
  <r>
    <s v="2025-11-18"/>
    <x v="119"/>
    <x v="4"/>
    <x v="2"/>
    <x v="10"/>
    <x v="119"/>
    <n v="209458.24"/>
    <n v="41"/>
    <n v="13617.67"/>
    <x v="1"/>
    <n v="11"/>
    <x v="0"/>
  </r>
  <r>
    <s v="2025-10-01"/>
    <x v="120"/>
    <x v="9"/>
    <x v="0"/>
    <x v="5"/>
    <x v="120"/>
    <n v="6959.54"/>
    <n v="37"/>
    <n v="662.45"/>
    <x v="0"/>
    <n v="10"/>
    <x v="0"/>
  </r>
  <r>
    <s v="2025-08-20"/>
    <x v="121"/>
    <x v="1"/>
    <x v="2"/>
    <x v="9"/>
    <x v="121"/>
    <n v="445447.64"/>
    <n v="46"/>
    <n v="62960.02"/>
    <x v="3"/>
    <n v="8"/>
    <x v="0"/>
  </r>
  <r>
    <s v="2024-12-29"/>
    <x v="122"/>
    <x v="4"/>
    <x v="2"/>
    <x v="10"/>
    <x v="122"/>
    <n v="341933.41"/>
    <n v="1"/>
    <n v="75789.38"/>
    <x v="9"/>
    <n v="12"/>
    <x v="1"/>
  </r>
  <r>
    <s v="2025-05-04"/>
    <x v="123"/>
    <x v="5"/>
    <x v="0"/>
    <x v="0"/>
    <x v="123"/>
    <n v="109790.78"/>
    <n v="24"/>
    <n v="7667.7"/>
    <x v="2"/>
    <n v="5"/>
    <x v="0"/>
  </r>
  <r>
    <s v="2024-10-15"/>
    <x v="124"/>
    <x v="6"/>
    <x v="1"/>
    <x v="11"/>
    <x v="124"/>
    <n v="91819.57"/>
    <n v="40"/>
    <n v="19114.66"/>
    <x v="0"/>
    <n v="10"/>
    <x v="1"/>
  </r>
  <r>
    <s v="2025-10-30"/>
    <x v="125"/>
    <x v="5"/>
    <x v="0"/>
    <x v="0"/>
    <x v="125"/>
    <n v="492768.01"/>
    <n v="50"/>
    <n v="114890.12"/>
    <x v="0"/>
    <n v="10"/>
    <x v="0"/>
  </r>
  <r>
    <s v="2024-06-26"/>
    <x v="126"/>
    <x v="3"/>
    <x v="2"/>
    <x v="9"/>
    <x v="126"/>
    <n v="203539.62"/>
    <n v="35"/>
    <n v="18959.84"/>
    <x v="10"/>
    <n v="6"/>
    <x v="1"/>
  </r>
  <r>
    <s v="2024-06-05"/>
    <x v="127"/>
    <x v="9"/>
    <x v="2"/>
    <x v="10"/>
    <x v="127"/>
    <n v="437132"/>
    <n v="40"/>
    <n v="32670.07"/>
    <x v="10"/>
    <n v="6"/>
    <x v="1"/>
  </r>
  <r>
    <s v="2025-05-24"/>
    <x v="128"/>
    <x v="2"/>
    <x v="1"/>
    <x v="4"/>
    <x v="128"/>
    <n v="297600.15999999997"/>
    <n v="22"/>
    <n v="69279.41"/>
    <x v="2"/>
    <n v="5"/>
    <x v="0"/>
  </r>
  <r>
    <s v="2024-12-22"/>
    <x v="129"/>
    <x v="2"/>
    <x v="0"/>
    <x v="0"/>
    <x v="129"/>
    <n v="350248.26"/>
    <n v="4"/>
    <n v="50103.26"/>
    <x v="9"/>
    <n v="12"/>
    <x v="1"/>
  </r>
  <r>
    <s v="2024-04-16"/>
    <x v="130"/>
    <x v="2"/>
    <x v="1"/>
    <x v="11"/>
    <x v="130"/>
    <n v="378716.3"/>
    <n v="42"/>
    <n v="79247.22"/>
    <x v="5"/>
    <n v="4"/>
    <x v="1"/>
  </r>
  <r>
    <s v="2025-08-01"/>
    <x v="131"/>
    <x v="7"/>
    <x v="2"/>
    <x v="10"/>
    <x v="131"/>
    <n v="497016.7"/>
    <n v="20"/>
    <n v="101268.23"/>
    <x v="3"/>
    <n v="8"/>
    <x v="0"/>
  </r>
  <r>
    <s v="2025-05-26"/>
    <x v="132"/>
    <x v="9"/>
    <x v="0"/>
    <x v="3"/>
    <x v="132"/>
    <n v="50445.06"/>
    <n v="42"/>
    <n v="8857.2999999999993"/>
    <x v="2"/>
    <n v="5"/>
    <x v="0"/>
  </r>
  <r>
    <s v="2025-12-03"/>
    <x v="133"/>
    <x v="2"/>
    <x v="0"/>
    <x v="0"/>
    <x v="133"/>
    <n v="282273.18"/>
    <n v="39"/>
    <n v="36619.449999999997"/>
    <x v="9"/>
    <n v="12"/>
    <x v="0"/>
  </r>
  <r>
    <s v="2024-01-11"/>
    <x v="134"/>
    <x v="5"/>
    <x v="0"/>
    <x v="1"/>
    <x v="134"/>
    <n v="172098.08"/>
    <n v="48"/>
    <n v="14127.35"/>
    <x v="6"/>
    <n v="1"/>
    <x v="1"/>
  </r>
  <r>
    <s v="2025-01-31"/>
    <x v="135"/>
    <x v="3"/>
    <x v="1"/>
    <x v="2"/>
    <x v="135"/>
    <n v="466862.89"/>
    <n v="17"/>
    <n v="87377.22"/>
    <x v="6"/>
    <n v="1"/>
    <x v="0"/>
  </r>
  <r>
    <s v="2025-12-02"/>
    <x v="136"/>
    <x v="0"/>
    <x v="0"/>
    <x v="5"/>
    <x v="136"/>
    <n v="337214.25"/>
    <n v="46"/>
    <n v="74451.179999999993"/>
    <x v="9"/>
    <n v="12"/>
    <x v="0"/>
  </r>
  <r>
    <s v="2024-11-11"/>
    <x v="137"/>
    <x v="0"/>
    <x v="1"/>
    <x v="11"/>
    <x v="137"/>
    <n v="43040.08"/>
    <n v="32"/>
    <n v="6140.68"/>
    <x v="1"/>
    <n v="11"/>
    <x v="1"/>
  </r>
  <r>
    <s v="2025-08-14"/>
    <x v="138"/>
    <x v="8"/>
    <x v="0"/>
    <x v="1"/>
    <x v="138"/>
    <n v="440162.58"/>
    <n v="18"/>
    <n v="72550.84"/>
    <x v="3"/>
    <n v="8"/>
    <x v="0"/>
  </r>
  <r>
    <s v="2024-04-05"/>
    <x v="139"/>
    <x v="3"/>
    <x v="1"/>
    <x v="2"/>
    <x v="139"/>
    <n v="225138.98"/>
    <n v="26"/>
    <n v="49857.87"/>
    <x v="5"/>
    <n v="4"/>
    <x v="1"/>
  </r>
  <r>
    <s v="2025-01-21"/>
    <x v="140"/>
    <x v="4"/>
    <x v="1"/>
    <x v="4"/>
    <x v="140"/>
    <n v="239158.32"/>
    <n v="29"/>
    <n v="51279.27"/>
    <x v="6"/>
    <n v="1"/>
    <x v="0"/>
  </r>
  <r>
    <s v="2025-10-04"/>
    <x v="141"/>
    <x v="1"/>
    <x v="0"/>
    <x v="0"/>
    <x v="141"/>
    <n v="192192.33"/>
    <n v="41"/>
    <n v="19041.27"/>
    <x v="0"/>
    <n v="10"/>
    <x v="0"/>
  </r>
  <r>
    <s v="2024-03-06"/>
    <x v="142"/>
    <x v="9"/>
    <x v="0"/>
    <x v="3"/>
    <x v="142"/>
    <n v="86851.81"/>
    <n v="27"/>
    <n v="12332.04"/>
    <x v="11"/>
    <n v="3"/>
    <x v="1"/>
  </r>
  <r>
    <s v="2024-07-05"/>
    <x v="143"/>
    <x v="2"/>
    <x v="2"/>
    <x v="9"/>
    <x v="143"/>
    <n v="60418.6"/>
    <n v="25"/>
    <n v="6481.04"/>
    <x v="4"/>
    <n v="7"/>
    <x v="1"/>
  </r>
  <r>
    <s v="2024-07-15"/>
    <x v="144"/>
    <x v="3"/>
    <x v="0"/>
    <x v="1"/>
    <x v="144"/>
    <n v="131667.26"/>
    <n v="6"/>
    <n v="19893.23"/>
    <x v="4"/>
    <n v="7"/>
    <x v="1"/>
  </r>
  <r>
    <s v="2024-09-02"/>
    <x v="145"/>
    <x v="2"/>
    <x v="1"/>
    <x v="7"/>
    <x v="145"/>
    <n v="132452.4"/>
    <n v="8"/>
    <n v="31383.99"/>
    <x v="7"/>
    <n v="9"/>
    <x v="1"/>
  </r>
  <r>
    <s v="2024-07-04"/>
    <x v="146"/>
    <x v="5"/>
    <x v="0"/>
    <x v="3"/>
    <x v="146"/>
    <n v="465816.62"/>
    <n v="23"/>
    <n v="80791.03"/>
    <x v="4"/>
    <n v="7"/>
    <x v="1"/>
  </r>
  <r>
    <s v="2024-01-23"/>
    <x v="147"/>
    <x v="0"/>
    <x v="1"/>
    <x v="11"/>
    <x v="147"/>
    <n v="137573.81"/>
    <n v="14"/>
    <n v="32742.14"/>
    <x v="6"/>
    <n v="1"/>
    <x v="1"/>
  </r>
  <r>
    <s v="2025-09-14"/>
    <x v="148"/>
    <x v="9"/>
    <x v="1"/>
    <x v="2"/>
    <x v="148"/>
    <n v="168829.09"/>
    <n v="14"/>
    <n v="35323.17"/>
    <x v="7"/>
    <n v="9"/>
    <x v="0"/>
  </r>
  <r>
    <s v="2024-10-08"/>
    <x v="149"/>
    <x v="2"/>
    <x v="1"/>
    <x v="11"/>
    <x v="149"/>
    <n v="9231.93"/>
    <n v="37"/>
    <n v="1381.92"/>
    <x v="0"/>
    <n v="10"/>
    <x v="1"/>
  </r>
  <r>
    <s v="2025-09-11"/>
    <x v="150"/>
    <x v="1"/>
    <x v="0"/>
    <x v="5"/>
    <x v="150"/>
    <n v="319281.33"/>
    <n v="1"/>
    <n v="17448"/>
    <x v="7"/>
    <n v="9"/>
    <x v="0"/>
  </r>
  <r>
    <s v="2024-10-06"/>
    <x v="151"/>
    <x v="1"/>
    <x v="2"/>
    <x v="6"/>
    <x v="151"/>
    <n v="63028.51"/>
    <n v="46"/>
    <n v="9235.09"/>
    <x v="0"/>
    <n v="10"/>
    <x v="1"/>
  </r>
  <r>
    <s v="2024-06-22"/>
    <x v="152"/>
    <x v="7"/>
    <x v="1"/>
    <x v="2"/>
    <x v="152"/>
    <n v="268023.26"/>
    <n v="44"/>
    <n v="55264.65"/>
    <x v="10"/>
    <n v="6"/>
    <x v="1"/>
  </r>
  <r>
    <s v="2024-10-12"/>
    <x v="153"/>
    <x v="2"/>
    <x v="2"/>
    <x v="9"/>
    <x v="153"/>
    <n v="307382.33"/>
    <n v="32"/>
    <n v="20723.05"/>
    <x v="0"/>
    <n v="10"/>
    <x v="1"/>
  </r>
  <r>
    <s v="2025-02-22"/>
    <x v="154"/>
    <x v="8"/>
    <x v="1"/>
    <x v="2"/>
    <x v="154"/>
    <n v="310736.51"/>
    <n v="20"/>
    <n v="33531.82"/>
    <x v="8"/>
    <n v="2"/>
    <x v="0"/>
  </r>
  <r>
    <s v="2024-03-01"/>
    <x v="155"/>
    <x v="5"/>
    <x v="2"/>
    <x v="10"/>
    <x v="155"/>
    <n v="288588.89"/>
    <n v="3"/>
    <n v="68317.320000000007"/>
    <x v="11"/>
    <n v="3"/>
    <x v="1"/>
  </r>
  <r>
    <s v="2025-10-11"/>
    <x v="156"/>
    <x v="2"/>
    <x v="0"/>
    <x v="1"/>
    <x v="156"/>
    <n v="396390.54"/>
    <n v="28"/>
    <n v="94983.7"/>
    <x v="0"/>
    <n v="10"/>
    <x v="0"/>
  </r>
  <r>
    <s v="2025-05-04"/>
    <x v="157"/>
    <x v="7"/>
    <x v="2"/>
    <x v="9"/>
    <x v="157"/>
    <n v="55056.05"/>
    <n v="40"/>
    <n v="8748.7900000000009"/>
    <x v="2"/>
    <n v="5"/>
    <x v="0"/>
  </r>
  <r>
    <s v="2024-03-30"/>
    <x v="158"/>
    <x v="0"/>
    <x v="0"/>
    <x v="5"/>
    <x v="158"/>
    <n v="172555.17"/>
    <n v="46"/>
    <n v="30805.82"/>
    <x v="11"/>
    <n v="3"/>
    <x v="1"/>
  </r>
  <r>
    <s v="2024-02-23"/>
    <x v="159"/>
    <x v="7"/>
    <x v="1"/>
    <x v="11"/>
    <x v="159"/>
    <n v="131641.28"/>
    <n v="47"/>
    <n v="13187.01"/>
    <x v="8"/>
    <n v="2"/>
    <x v="1"/>
  </r>
  <r>
    <s v="2024-01-01"/>
    <x v="160"/>
    <x v="1"/>
    <x v="0"/>
    <x v="5"/>
    <x v="160"/>
    <n v="31047.79"/>
    <n v="4"/>
    <n v="6314.46"/>
    <x v="6"/>
    <n v="1"/>
    <x v="1"/>
  </r>
  <r>
    <s v="2025-08-20"/>
    <x v="161"/>
    <x v="7"/>
    <x v="0"/>
    <x v="3"/>
    <x v="161"/>
    <n v="313728.87"/>
    <n v="4"/>
    <n v="64937.74"/>
    <x v="3"/>
    <n v="8"/>
    <x v="0"/>
  </r>
  <r>
    <s v="2024-01-26"/>
    <x v="162"/>
    <x v="7"/>
    <x v="2"/>
    <x v="8"/>
    <x v="162"/>
    <n v="305280.01"/>
    <n v="47"/>
    <n v="61915.7"/>
    <x v="6"/>
    <n v="1"/>
    <x v="1"/>
  </r>
  <r>
    <s v="2025-01-25"/>
    <x v="163"/>
    <x v="2"/>
    <x v="1"/>
    <x v="2"/>
    <x v="163"/>
    <n v="353162.29"/>
    <n v="21"/>
    <n v="57064.27"/>
    <x v="6"/>
    <n v="1"/>
    <x v="0"/>
  </r>
  <r>
    <s v="2025-07-30"/>
    <x v="164"/>
    <x v="2"/>
    <x v="0"/>
    <x v="1"/>
    <x v="164"/>
    <n v="483176.01"/>
    <n v="21"/>
    <n v="79615.94"/>
    <x v="4"/>
    <n v="7"/>
    <x v="0"/>
  </r>
  <r>
    <s v="2024-11-17"/>
    <x v="165"/>
    <x v="3"/>
    <x v="0"/>
    <x v="3"/>
    <x v="165"/>
    <n v="90304.86"/>
    <n v="39"/>
    <n v="5060.12"/>
    <x v="1"/>
    <n v="11"/>
    <x v="1"/>
  </r>
  <r>
    <s v="2024-07-11"/>
    <x v="166"/>
    <x v="1"/>
    <x v="2"/>
    <x v="8"/>
    <x v="166"/>
    <n v="350119.16"/>
    <n v="15"/>
    <n v="39148.199999999997"/>
    <x v="4"/>
    <n v="7"/>
    <x v="1"/>
  </r>
  <r>
    <s v="2024-11-05"/>
    <x v="167"/>
    <x v="9"/>
    <x v="1"/>
    <x v="7"/>
    <x v="167"/>
    <n v="434422.71"/>
    <n v="50"/>
    <n v="54399.82"/>
    <x v="1"/>
    <n v="11"/>
    <x v="1"/>
  </r>
  <r>
    <s v="2024-04-01"/>
    <x v="168"/>
    <x v="7"/>
    <x v="2"/>
    <x v="8"/>
    <x v="168"/>
    <n v="194817.15"/>
    <n v="8"/>
    <n v="37588.92"/>
    <x v="5"/>
    <n v="4"/>
    <x v="1"/>
  </r>
  <r>
    <s v="2025-06-09"/>
    <x v="169"/>
    <x v="8"/>
    <x v="2"/>
    <x v="8"/>
    <x v="169"/>
    <n v="463647.87"/>
    <n v="18"/>
    <n v="42216.33"/>
    <x v="10"/>
    <n v="6"/>
    <x v="0"/>
  </r>
  <r>
    <s v="2024-08-28"/>
    <x v="170"/>
    <x v="6"/>
    <x v="2"/>
    <x v="10"/>
    <x v="170"/>
    <n v="68710.559999999998"/>
    <n v="18"/>
    <n v="7135.99"/>
    <x v="3"/>
    <n v="8"/>
    <x v="1"/>
  </r>
  <r>
    <s v="2025-08-02"/>
    <x v="171"/>
    <x v="8"/>
    <x v="2"/>
    <x v="9"/>
    <x v="171"/>
    <n v="22590.27"/>
    <n v="22"/>
    <n v="3229.81"/>
    <x v="3"/>
    <n v="8"/>
    <x v="0"/>
  </r>
  <r>
    <s v="2024-11-14"/>
    <x v="172"/>
    <x v="0"/>
    <x v="1"/>
    <x v="4"/>
    <x v="172"/>
    <n v="259199.73"/>
    <n v="31"/>
    <n v="54338.45"/>
    <x v="1"/>
    <n v="11"/>
    <x v="1"/>
  </r>
  <r>
    <s v="2024-06-22"/>
    <x v="173"/>
    <x v="9"/>
    <x v="0"/>
    <x v="3"/>
    <x v="173"/>
    <n v="88249.58"/>
    <n v="24"/>
    <n v="11460.62"/>
    <x v="10"/>
    <n v="6"/>
    <x v="1"/>
  </r>
  <r>
    <s v="2024-06-15"/>
    <x v="174"/>
    <x v="8"/>
    <x v="0"/>
    <x v="5"/>
    <x v="174"/>
    <n v="114741.45"/>
    <n v="14"/>
    <n v="9453.73"/>
    <x v="10"/>
    <n v="6"/>
    <x v="1"/>
  </r>
  <r>
    <s v="2024-09-27"/>
    <x v="175"/>
    <x v="9"/>
    <x v="2"/>
    <x v="6"/>
    <x v="175"/>
    <n v="22648.07"/>
    <n v="3"/>
    <n v="3551.54"/>
    <x v="7"/>
    <n v="9"/>
    <x v="1"/>
  </r>
  <r>
    <s v="2024-09-06"/>
    <x v="176"/>
    <x v="2"/>
    <x v="0"/>
    <x v="0"/>
    <x v="176"/>
    <n v="402988.97"/>
    <n v="19"/>
    <n v="95042.96"/>
    <x v="7"/>
    <n v="9"/>
    <x v="1"/>
  </r>
  <r>
    <s v="2024-01-31"/>
    <x v="177"/>
    <x v="0"/>
    <x v="2"/>
    <x v="6"/>
    <x v="177"/>
    <n v="148929.01"/>
    <n v="4"/>
    <n v="34306.21"/>
    <x v="6"/>
    <n v="1"/>
    <x v="1"/>
  </r>
  <r>
    <s v="2025-02-20"/>
    <x v="178"/>
    <x v="9"/>
    <x v="0"/>
    <x v="5"/>
    <x v="178"/>
    <n v="228965.55"/>
    <n v="34"/>
    <n v="11566.98"/>
    <x v="8"/>
    <n v="2"/>
    <x v="0"/>
  </r>
  <r>
    <s v="2024-12-02"/>
    <x v="179"/>
    <x v="0"/>
    <x v="2"/>
    <x v="9"/>
    <x v="179"/>
    <n v="355677.62"/>
    <n v="39"/>
    <n v="82272.5"/>
    <x v="9"/>
    <n v="12"/>
    <x v="1"/>
  </r>
  <r>
    <s v="2025-11-10"/>
    <x v="180"/>
    <x v="8"/>
    <x v="0"/>
    <x v="3"/>
    <x v="180"/>
    <n v="315137.84000000003"/>
    <n v="3"/>
    <n v="52718.93"/>
    <x v="1"/>
    <n v="11"/>
    <x v="0"/>
  </r>
  <r>
    <s v="2025-12-09"/>
    <x v="181"/>
    <x v="5"/>
    <x v="1"/>
    <x v="2"/>
    <x v="181"/>
    <n v="332184.45"/>
    <n v="24"/>
    <n v="70866.33"/>
    <x v="9"/>
    <n v="12"/>
    <x v="0"/>
  </r>
  <r>
    <s v="2024-03-16"/>
    <x v="182"/>
    <x v="4"/>
    <x v="2"/>
    <x v="8"/>
    <x v="182"/>
    <n v="433742.92"/>
    <n v="46"/>
    <n v="101340.37"/>
    <x v="11"/>
    <n v="3"/>
    <x v="1"/>
  </r>
  <r>
    <s v="2024-04-05"/>
    <x v="183"/>
    <x v="1"/>
    <x v="0"/>
    <x v="1"/>
    <x v="183"/>
    <n v="336675.67"/>
    <n v="37"/>
    <n v="31218.04"/>
    <x v="5"/>
    <n v="4"/>
    <x v="1"/>
  </r>
  <r>
    <s v="2024-04-27"/>
    <x v="184"/>
    <x v="5"/>
    <x v="2"/>
    <x v="6"/>
    <x v="184"/>
    <n v="247015.18"/>
    <n v="6"/>
    <n v="55990.89"/>
    <x v="5"/>
    <n v="4"/>
    <x v="1"/>
  </r>
  <r>
    <s v="2025-12-29"/>
    <x v="185"/>
    <x v="9"/>
    <x v="2"/>
    <x v="10"/>
    <x v="185"/>
    <n v="61711.67"/>
    <n v="46"/>
    <n v="13989.29"/>
    <x v="9"/>
    <n v="12"/>
    <x v="0"/>
  </r>
  <r>
    <s v="2024-10-01"/>
    <x v="186"/>
    <x v="6"/>
    <x v="2"/>
    <x v="9"/>
    <x v="186"/>
    <n v="271689.76"/>
    <n v="45"/>
    <n v="38544.720000000001"/>
    <x v="0"/>
    <n v="10"/>
    <x v="1"/>
  </r>
  <r>
    <s v="2025-01-18"/>
    <x v="187"/>
    <x v="1"/>
    <x v="2"/>
    <x v="10"/>
    <x v="187"/>
    <n v="298810.11"/>
    <n v="18"/>
    <n v="17227.03"/>
    <x v="6"/>
    <n v="1"/>
    <x v="0"/>
  </r>
  <r>
    <s v="2024-07-23"/>
    <x v="188"/>
    <x v="4"/>
    <x v="0"/>
    <x v="3"/>
    <x v="188"/>
    <n v="472120.88"/>
    <n v="20"/>
    <n v="79373.06"/>
    <x v="4"/>
    <n v="7"/>
    <x v="1"/>
  </r>
  <r>
    <s v="2024-03-28"/>
    <x v="189"/>
    <x v="3"/>
    <x v="0"/>
    <x v="5"/>
    <x v="189"/>
    <n v="131475"/>
    <n v="13"/>
    <n v="22580.240000000002"/>
    <x v="11"/>
    <n v="3"/>
    <x v="1"/>
  </r>
  <r>
    <s v="2024-08-30"/>
    <x v="190"/>
    <x v="6"/>
    <x v="1"/>
    <x v="4"/>
    <x v="190"/>
    <n v="331788.49"/>
    <n v="13"/>
    <n v="81388.240000000005"/>
    <x v="3"/>
    <n v="8"/>
    <x v="1"/>
  </r>
  <r>
    <s v="2025-04-22"/>
    <x v="191"/>
    <x v="2"/>
    <x v="2"/>
    <x v="6"/>
    <x v="191"/>
    <n v="354593.78"/>
    <n v="31"/>
    <n v="51301.95"/>
    <x v="5"/>
    <n v="4"/>
    <x v="0"/>
  </r>
  <r>
    <s v="2025-09-23"/>
    <x v="192"/>
    <x v="3"/>
    <x v="0"/>
    <x v="5"/>
    <x v="192"/>
    <n v="224187.14"/>
    <n v="4"/>
    <n v="33135.089999999997"/>
    <x v="7"/>
    <n v="9"/>
    <x v="0"/>
  </r>
  <r>
    <s v="2025-10-07"/>
    <x v="193"/>
    <x v="7"/>
    <x v="0"/>
    <x v="0"/>
    <x v="193"/>
    <n v="246300.17"/>
    <n v="40"/>
    <n v="30242.34"/>
    <x v="0"/>
    <n v="10"/>
    <x v="0"/>
  </r>
  <r>
    <s v="2024-09-01"/>
    <x v="194"/>
    <x v="3"/>
    <x v="0"/>
    <x v="0"/>
    <x v="194"/>
    <n v="33400.18"/>
    <n v="28"/>
    <n v="3475.89"/>
    <x v="7"/>
    <n v="9"/>
    <x v="1"/>
  </r>
  <r>
    <s v="2024-12-17"/>
    <x v="195"/>
    <x v="7"/>
    <x v="2"/>
    <x v="6"/>
    <x v="195"/>
    <n v="163038.49"/>
    <n v="33"/>
    <n v="35794.94"/>
    <x v="9"/>
    <n v="12"/>
    <x v="1"/>
  </r>
  <r>
    <s v="2024-07-23"/>
    <x v="196"/>
    <x v="9"/>
    <x v="1"/>
    <x v="7"/>
    <x v="196"/>
    <n v="167680.71"/>
    <n v="32"/>
    <n v="15155.2"/>
    <x v="4"/>
    <n v="7"/>
    <x v="1"/>
  </r>
  <r>
    <s v="2025-09-24"/>
    <x v="197"/>
    <x v="9"/>
    <x v="2"/>
    <x v="6"/>
    <x v="197"/>
    <n v="277914.73"/>
    <n v="9"/>
    <n v="38062.29"/>
    <x v="7"/>
    <n v="9"/>
    <x v="0"/>
  </r>
  <r>
    <s v="2024-12-20"/>
    <x v="198"/>
    <x v="3"/>
    <x v="0"/>
    <x v="1"/>
    <x v="198"/>
    <n v="33808.22"/>
    <n v="50"/>
    <n v="5119.79"/>
    <x v="9"/>
    <n v="12"/>
    <x v="1"/>
  </r>
  <r>
    <s v="2024-05-10"/>
    <x v="199"/>
    <x v="0"/>
    <x v="1"/>
    <x v="2"/>
    <x v="199"/>
    <n v="250150.41"/>
    <n v="22"/>
    <n v="33378.01"/>
    <x v="2"/>
    <n v="5"/>
    <x v="1"/>
  </r>
  <r>
    <s v="2025-01-25"/>
    <x v="200"/>
    <x v="5"/>
    <x v="1"/>
    <x v="11"/>
    <x v="200"/>
    <n v="212965.77"/>
    <n v="41"/>
    <n v="29820.28"/>
    <x v="6"/>
    <n v="1"/>
    <x v="0"/>
  </r>
  <r>
    <s v="2024-05-15"/>
    <x v="201"/>
    <x v="2"/>
    <x v="0"/>
    <x v="3"/>
    <x v="201"/>
    <n v="275504.45"/>
    <n v="15"/>
    <n v="13778.14"/>
    <x v="2"/>
    <n v="5"/>
    <x v="1"/>
  </r>
  <r>
    <s v="2024-06-06"/>
    <x v="202"/>
    <x v="6"/>
    <x v="0"/>
    <x v="1"/>
    <x v="202"/>
    <n v="126946.17"/>
    <n v="20"/>
    <n v="7841.92"/>
    <x v="10"/>
    <n v="6"/>
    <x v="1"/>
  </r>
  <r>
    <s v="2025-01-23"/>
    <x v="203"/>
    <x v="0"/>
    <x v="1"/>
    <x v="7"/>
    <x v="203"/>
    <n v="137385.47"/>
    <n v="48"/>
    <n v="21481.01"/>
    <x v="6"/>
    <n v="1"/>
    <x v="0"/>
  </r>
  <r>
    <s v="2024-08-28"/>
    <x v="204"/>
    <x v="8"/>
    <x v="1"/>
    <x v="11"/>
    <x v="204"/>
    <n v="267773.71000000002"/>
    <n v="6"/>
    <n v="17561.38"/>
    <x v="3"/>
    <n v="8"/>
    <x v="1"/>
  </r>
  <r>
    <s v="2025-03-31"/>
    <x v="205"/>
    <x v="2"/>
    <x v="0"/>
    <x v="1"/>
    <x v="205"/>
    <n v="21648.32"/>
    <n v="47"/>
    <n v="3344.66"/>
    <x v="11"/>
    <n v="3"/>
    <x v="0"/>
  </r>
  <r>
    <s v="2024-01-06"/>
    <x v="206"/>
    <x v="6"/>
    <x v="2"/>
    <x v="6"/>
    <x v="206"/>
    <n v="396641.06"/>
    <n v="14"/>
    <n v="79288.429999999993"/>
    <x v="6"/>
    <n v="1"/>
    <x v="1"/>
  </r>
  <r>
    <s v="2025-08-01"/>
    <x v="207"/>
    <x v="3"/>
    <x v="1"/>
    <x v="4"/>
    <x v="207"/>
    <n v="161563.59"/>
    <n v="11"/>
    <n v="29870.89"/>
    <x v="3"/>
    <n v="8"/>
    <x v="0"/>
  </r>
  <r>
    <s v="2025-10-13"/>
    <x v="208"/>
    <x v="4"/>
    <x v="2"/>
    <x v="8"/>
    <x v="208"/>
    <n v="358192.06"/>
    <n v="20"/>
    <n v="39509.949999999997"/>
    <x v="0"/>
    <n v="10"/>
    <x v="0"/>
  </r>
  <r>
    <s v="2024-01-31"/>
    <x v="209"/>
    <x v="8"/>
    <x v="2"/>
    <x v="10"/>
    <x v="209"/>
    <n v="422874.07"/>
    <n v="9"/>
    <n v="79812.31"/>
    <x v="6"/>
    <n v="1"/>
    <x v="1"/>
  </r>
  <r>
    <s v="2025-12-10"/>
    <x v="210"/>
    <x v="2"/>
    <x v="1"/>
    <x v="2"/>
    <x v="210"/>
    <n v="415117.38"/>
    <n v="50"/>
    <n v="82445"/>
    <x v="9"/>
    <n v="12"/>
    <x v="0"/>
  </r>
  <r>
    <s v="2024-11-10"/>
    <x v="211"/>
    <x v="7"/>
    <x v="2"/>
    <x v="8"/>
    <x v="211"/>
    <n v="233265.19"/>
    <n v="49"/>
    <n v="38521.71"/>
    <x v="1"/>
    <n v="11"/>
    <x v="1"/>
  </r>
  <r>
    <s v="2025-03-23"/>
    <x v="212"/>
    <x v="6"/>
    <x v="1"/>
    <x v="11"/>
    <x v="212"/>
    <n v="489678.08000000002"/>
    <n v="3"/>
    <n v="102606.63"/>
    <x v="11"/>
    <n v="3"/>
    <x v="0"/>
  </r>
  <r>
    <s v="2024-07-13"/>
    <x v="213"/>
    <x v="6"/>
    <x v="1"/>
    <x v="7"/>
    <x v="213"/>
    <n v="291510.40999999997"/>
    <n v="32"/>
    <n v="57335.94"/>
    <x v="4"/>
    <n v="7"/>
    <x v="1"/>
  </r>
  <r>
    <s v="2025-10-25"/>
    <x v="214"/>
    <x v="0"/>
    <x v="2"/>
    <x v="8"/>
    <x v="214"/>
    <n v="478104.91"/>
    <n v="33"/>
    <n v="53837.53"/>
    <x v="0"/>
    <n v="10"/>
    <x v="0"/>
  </r>
  <r>
    <s v="2025-09-23"/>
    <x v="215"/>
    <x v="4"/>
    <x v="0"/>
    <x v="1"/>
    <x v="215"/>
    <n v="483738.21"/>
    <n v="46"/>
    <n v="101588.23"/>
    <x v="7"/>
    <n v="9"/>
    <x v="0"/>
  </r>
  <r>
    <s v="2025-10-22"/>
    <x v="216"/>
    <x v="2"/>
    <x v="1"/>
    <x v="2"/>
    <x v="216"/>
    <n v="116101.18"/>
    <n v="41"/>
    <n v="27212.7"/>
    <x v="0"/>
    <n v="10"/>
    <x v="0"/>
  </r>
  <r>
    <s v="2024-03-28"/>
    <x v="217"/>
    <x v="8"/>
    <x v="1"/>
    <x v="4"/>
    <x v="78"/>
    <n v="61969.54"/>
    <n v="28"/>
    <n v="9053.35"/>
    <x v="11"/>
    <n v="3"/>
    <x v="1"/>
  </r>
  <r>
    <s v="2025-10-11"/>
    <x v="218"/>
    <x v="9"/>
    <x v="1"/>
    <x v="2"/>
    <x v="4"/>
    <n v="456229.65"/>
    <n v="20"/>
    <n v="74773.13"/>
    <x v="0"/>
    <n v="10"/>
    <x v="0"/>
  </r>
  <r>
    <s v="2025-09-10"/>
    <x v="219"/>
    <x v="2"/>
    <x v="0"/>
    <x v="1"/>
    <x v="217"/>
    <n v="335507.25"/>
    <n v="27"/>
    <n v="76807.960000000006"/>
    <x v="7"/>
    <n v="9"/>
    <x v="0"/>
  </r>
  <r>
    <s v="2024-01-28"/>
    <x v="220"/>
    <x v="3"/>
    <x v="2"/>
    <x v="6"/>
    <x v="218"/>
    <n v="463087.96"/>
    <n v="47"/>
    <n v="81210.41"/>
    <x v="6"/>
    <n v="1"/>
    <x v="1"/>
  </r>
  <r>
    <s v="2025-03-22"/>
    <x v="221"/>
    <x v="4"/>
    <x v="2"/>
    <x v="9"/>
    <x v="219"/>
    <n v="482109.52"/>
    <n v="22"/>
    <n v="96759.19"/>
    <x v="11"/>
    <n v="3"/>
    <x v="0"/>
  </r>
  <r>
    <s v="2025-02-27"/>
    <x v="222"/>
    <x v="8"/>
    <x v="0"/>
    <x v="3"/>
    <x v="220"/>
    <n v="41368.32"/>
    <n v="50"/>
    <n v="7644.06"/>
    <x v="8"/>
    <n v="2"/>
    <x v="0"/>
  </r>
  <r>
    <s v="2025-04-25"/>
    <x v="223"/>
    <x v="2"/>
    <x v="2"/>
    <x v="9"/>
    <x v="221"/>
    <n v="97537.2"/>
    <n v="44"/>
    <n v="19133.78"/>
    <x v="5"/>
    <n v="4"/>
    <x v="0"/>
  </r>
  <r>
    <s v="2024-10-02"/>
    <x v="224"/>
    <x v="8"/>
    <x v="1"/>
    <x v="4"/>
    <x v="222"/>
    <n v="307488"/>
    <n v="47"/>
    <n v="76265.86"/>
    <x v="0"/>
    <n v="10"/>
    <x v="1"/>
  </r>
  <r>
    <s v="2025-03-20"/>
    <x v="225"/>
    <x v="9"/>
    <x v="2"/>
    <x v="9"/>
    <x v="223"/>
    <n v="416956.95"/>
    <n v="34"/>
    <n v="22934.78"/>
    <x v="11"/>
    <n v="3"/>
    <x v="0"/>
  </r>
  <r>
    <s v="2024-03-29"/>
    <x v="226"/>
    <x v="9"/>
    <x v="1"/>
    <x v="4"/>
    <x v="224"/>
    <n v="135293.19"/>
    <n v="10"/>
    <n v="13226.31"/>
    <x v="11"/>
    <n v="3"/>
    <x v="1"/>
  </r>
  <r>
    <s v="2024-08-30"/>
    <x v="227"/>
    <x v="8"/>
    <x v="2"/>
    <x v="6"/>
    <x v="225"/>
    <n v="326326.21999999997"/>
    <n v="18"/>
    <n v="80206.92"/>
    <x v="3"/>
    <n v="8"/>
    <x v="1"/>
  </r>
  <r>
    <s v="2024-03-27"/>
    <x v="228"/>
    <x v="6"/>
    <x v="0"/>
    <x v="5"/>
    <x v="226"/>
    <n v="472505.89"/>
    <n v="48"/>
    <n v="86117.87"/>
    <x v="11"/>
    <n v="3"/>
    <x v="1"/>
  </r>
  <r>
    <s v="2025-12-30"/>
    <x v="229"/>
    <x v="1"/>
    <x v="0"/>
    <x v="0"/>
    <x v="227"/>
    <n v="204327.54"/>
    <n v="32"/>
    <n v="25567.03"/>
    <x v="9"/>
    <n v="12"/>
    <x v="0"/>
  </r>
  <r>
    <s v="2025-11-30"/>
    <x v="230"/>
    <x v="1"/>
    <x v="1"/>
    <x v="2"/>
    <x v="228"/>
    <n v="286344.15999999997"/>
    <n v="10"/>
    <n v="52709.18"/>
    <x v="1"/>
    <n v="11"/>
    <x v="0"/>
  </r>
  <r>
    <s v="2024-02-07"/>
    <x v="231"/>
    <x v="6"/>
    <x v="1"/>
    <x v="7"/>
    <x v="229"/>
    <n v="378738.84"/>
    <n v="34"/>
    <n v="41227.339999999997"/>
    <x v="8"/>
    <n v="2"/>
    <x v="1"/>
  </r>
  <r>
    <s v="2024-08-08"/>
    <x v="232"/>
    <x v="3"/>
    <x v="2"/>
    <x v="10"/>
    <x v="230"/>
    <n v="124699.77"/>
    <n v="40"/>
    <n v="25293.759999999998"/>
    <x v="3"/>
    <n v="8"/>
    <x v="1"/>
  </r>
  <r>
    <s v="2025-02-20"/>
    <x v="233"/>
    <x v="8"/>
    <x v="1"/>
    <x v="4"/>
    <x v="231"/>
    <n v="141625.34"/>
    <n v="20"/>
    <n v="12315.65"/>
    <x v="8"/>
    <n v="2"/>
    <x v="0"/>
  </r>
  <r>
    <s v="2024-01-20"/>
    <x v="234"/>
    <x v="7"/>
    <x v="2"/>
    <x v="10"/>
    <x v="232"/>
    <n v="216414.02"/>
    <n v="21"/>
    <n v="37565.199999999997"/>
    <x v="6"/>
    <n v="1"/>
    <x v="1"/>
  </r>
  <r>
    <s v="2024-08-07"/>
    <x v="235"/>
    <x v="1"/>
    <x v="1"/>
    <x v="7"/>
    <x v="233"/>
    <n v="406223.98"/>
    <n v="37"/>
    <n v="45453.43"/>
    <x v="3"/>
    <n v="8"/>
    <x v="1"/>
  </r>
  <r>
    <s v="2024-09-03"/>
    <x v="236"/>
    <x v="4"/>
    <x v="0"/>
    <x v="0"/>
    <x v="234"/>
    <n v="423935.47"/>
    <n v="22"/>
    <n v="39671.589999999997"/>
    <x v="7"/>
    <n v="9"/>
    <x v="1"/>
  </r>
  <r>
    <s v="2024-07-31"/>
    <x v="237"/>
    <x v="5"/>
    <x v="0"/>
    <x v="0"/>
    <x v="235"/>
    <n v="75842.33"/>
    <n v="17"/>
    <n v="5932.6"/>
    <x v="4"/>
    <n v="7"/>
    <x v="1"/>
  </r>
  <r>
    <s v="2025-08-20"/>
    <x v="238"/>
    <x v="4"/>
    <x v="1"/>
    <x v="11"/>
    <x v="236"/>
    <n v="279305.42"/>
    <n v="8"/>
    <n v="42103.68"/>
    <x v="3"/>
    <n v="8"/>
    <x v="0"/>
  </r>
  <r>
    <s v="2025-01-29"/>
    <x v="239"/>
    <x v="8"/>
    <x v="1"/>
    <x v="7"/>
    <x v="237"/>
    <n v="409727.32"/>
    <n v="3"/>
    <n v="95228.37"/>
    <x v="6"/>
    <n v="1"/>
    <x v="0"/>
  </r>
  <r>
    <s v="2024-10-16"/>
    <x v="240"/>
    <x v="4"/>
    <x v="0"/>
    <x v="5"/>
    <x v="238"/>
    <n v="393810.69"/>
    <n v="9"/>
    <n v="37251.440000000002"/>
    <x v="0"/>
    <n v="10"/>
    <x v="1"/>
  </r>
  <r>
    <s v="2024-04-07"/>
    <x v="241"/>
    <x v="1"/>
    <x v="2"/>
    <x v="10"/>
    <x v="239"/>
    <n v="177376.38"/>
    <n v="50"/>
    <n v="40035.19"/>
    <x v="5"/>
    <n v="4"/>
    <x v="1"/>
  </r>
  <r>
    <s v="2025-08-27"/>
    <x v="242"/>
    <x v="0"/>
    <x v="0"/>
    <x v="3"/>
    <x v="240"/>
    <n v="130592.61"/>
    <n v="12"/>
    <n v="26153.86"/>
    <x v="3"/>
    <n v="8"/>
    <x v="0"/>
  </r>
  <r>
    <s v="2025-04-12"/>
    <x v="243"/>
    <x v="7"/>
    <x v="1"/>
    <x v="11"/>
    <x v="241"/>
    <n v="394458.18"/>
    <n v="48"/>
    <n v="32313.08"/>
    <x v="5"/>
    <n v="4"/>
    <x v="0"/>
  </r>
  <r>
    <s v="2025-01-04"/>
    <x v="244"/>
    <x v="5"/>
    <x v="0"/>
    <x v="0"/>
    <x v="242"/>
    <n v="425339.26"/>
    <n v="27"/>
    <n v="62557.48"/>
    <x v="6"/>
    <n v="1"/>
    <x v="0"/>
  </r>
  <r>
    <s v="2024-09-15"/>
    <x v="245"/>
    <x v="6"/>
    <x v="1"/>
    <x v="4"/>
    <x v="243"/>
    <n v="489055.82"/>
    <n v="12"/>
    <n v="41830.300000000003"/>
    <x v="7"/>
    <n v="9"/>
    <x v="1"/>
  </r>
  <r>
    <s v="2025-08-15"/>
    <x v="246"/>
    <x v="7"/>
    <x v="0"/>
    <x v="1"/>
    <x v="244"/>
    <n v="387092.87"/>
    <n v="17"/>
    <n v="96144.45"/>
    <x v="3"/>
    <n v="8"/>
    <x v="0"/>
  </r>
  <r>
    <s v="2024-04-29"/>
    <x v="247"/>
    <x v="4"/>
    <x v="1"/>
    <x v="11"/>
    <x v="245"/>
    <n v="149168.15"/>
    <n v="9"/>
    <n v="14213.91"/>
    <x v="5"/>
    <n v="4"/>
    <x v="1"/>
  </r>
  <r>
    <s v="2024-12-30"/>
    <x v="248"/>
    <x v="8"/>
    <x v="2"/>
    <x v="6"/>
    <x v="246"/>
    <n v="363999.82"/>
    <n v="15"/>
    <n v="25880.78"/>
    <x v="9"/>
    <n v="12"/>
    <x v="1"/>
  </r>
  <r>
    <s v="2025-03-29"/>
    <x v="249"/>
    <x v="1"/>
    <x v="2"/>
    <x v="9"/>
    <x v="247"/>
    <n v="381854.47"/>
    <n v="20"/>
    <n v="26875.82"/>
    <x v="11"/>
    <n v="3"/>
    <x v="0"/>
  </r>
  <r>
    <s v="2025-12-02"/>
    <x v="250"/>
    <x v="1"/>
    <x v="0"/>
    <x v="1"/>
    <x v="248"/>
    <n v="89709.29"/>
    <n v="27"/>
    <n v="5657.75"/>
    <x v="9"/>
    <n v="12"/>
    <x v="0"/>
  </r>
  <r>
    <s v="2025-08-01"/>
    <x v="251"/>
    <x v="5"/>
    <x v="1"/>
    <x v="11"/>
    <x v="249"/>
    <n v="67952.22"/>
    <n v="22"/>
    <n v="15178.26"/>
    <x v="3"/>
    <n v="8"/>
    <x v="0"/>
  </r>
  <r>
    <s v="2025-11-01"/>
    <x v="252"/>
    <x v="1"/>
    <x v="1"/>
    <x v="7"/>
    <x v="250"/>
    <n v="359508.89"/>
    <n v="2"/>
    <n v="76237.27"/>
    <x v="1"/>
    <n v="11"/>
    <x v="0"/>
  </r>
  <r>
    <s v="2024-05-09"/>
    <x v="253"/>
    <x v="1"/>
    <x v="2"/>
    <x v="10"/>
    <x v="251"/>
    <n v="21242.42"/>
    <n v="13"/>
    <n v="4487.3999999999996"/>
    <x v="2"/>
    <n v="5"/>
    <x v="1"/>
  </r>
  <r>
    <s v="2025-07-24"/>
    <x v="254"/>
    <x v="8"/>
    <x v="2"/>
    <x v="6"/>
    <x v="252"/>
    <n v="272704.90999999997"/>
    <n v="45"/>
    <n v="16391.38"/>
    <x v="4"/>
    <n v="7"/>
    <x v="0"/>
  </r>
  <r>
    <s v="2024-09-13"/>
    <x v="255"/>
    <x v="9"/>
    <x v="2"/>
    <x v="9"/>
    <x v="253"/>
    <n v="381842.03"/>
    <n v="21"/>
    <n v="24592.62"/>
    <x v="7"/>
    <n v="9"/>
    <x v="1"/>
  </r>
  <r>
    <s v="2024-11-13"/>
    <x v="256"/>
    <x v="1"/>
    <x v="2"/>
    <x v="9"/>
    <x v="254"/>
    <n v="316460.69"/>
    <n v="41"/>
    <n v="68464.789999999994"/>
    <x v="1"/>
    <n v="11"/>
    <x v="1"/>
  </r>
  <r>
    <s v="2024-03-03"/>
    <x v="257"/>
    <x v="2"/>
    <x v="0"/>
    <x v="1"/>
    <x v="255"/>
    <n v="127025.86"/>
    <n v="3"/>
    <n v="10683.41"/>
    <x v="11"/>
    <n v="3"/>
    <x v="1"/>
  </r>
  <r>
    <s v="2025-07-04"/>
    <x v="258"/>
    <x v="5"/>
    <x v="0"/>
    <x v="5"/>
    <x v="256"/>
    <n v="12698.11"/>
    <n v="31"/>
    <n v="1730.58"/>
    <x v="4"/>
    <n v="7"/>
    <x v="0"/>
  </r>
  <r>
    <s v="2025-04-16"/>
    <x v="259"/>
    <x v="8"/>
    <x v="2"/>
    <x v="8"/>
    <x v="257"/>
    <n v="369027.34"/>
    <n v="25"/>
    <n v="84742.98"/>
    <x v="5"/>
    <n v="4"/>
    <x v="0"/>
  </r>
  <r>
    <s v="2024-10-17"/>
    <x v="260"/>
    <x v="8"/>
    <x v="2"/>
    <x v="10"/>
    <x v="258"/>
    <n v="251173.34"/>
    <n v="30"/>
    <n v="42397.53"/>
    <x v="0"/>
    <n v="10"/>
    <x v="1"/>
  </r>
  <r>
    <s v="2025-05-14"/>
    <x v="261"/>
    <x v="0"/>
    <x v="1"/>
    <x v="7"/>
    <x v="259"/>
    <n v="46416.07"/>
    <n v="12"/>
    <n v="8519.07"/>
    <x v="2"/>
    <n v="5"/>
    <x v="0"/>
  </r>
  <r>
    <s v="2024-01-02"/>
    <x v="262"/>
    <x v="0"/>
    <x v="2"/>
    <x v="8"/>
    <x v="260"/>
    <n v="450994.11"/>
    <n v="35"/>
    <n v="79001.33"/>
    <x v="6"/>
    <n v="1"/>
    <x v="1"/>
  </r>
  <r>
    <s v="2024-12-26"/>
    <x v="263"/>
    <x v="1"/>
    <x v="0"/>
    <x v="1"/>
    <x v="261"/>
    <n v="339212.18"/>
    <n v="18"/>
    <n v="64848.4"/>
    <x v="9"/>
    <n v="12"/>
    <x v="1"/>
  </r>
  <r>
    <s v="2024-05-02"/>
    <x v="264"/>
    <x v="2"/>
    <x v="0"/>
    <x v="3"/>
    <x v="262"/>
    <n v="470205.03"/>
    <n v="50"/>
    <n v="83700.28"/>
    <x v="2"/>
    <n v="5"/>
    <x v="1"/>
  </r>
  <r>
    <s v="2024-05-24"/>
    <x v="265"/>
    <x v="9"/>
    <x v="0"/>
    <x v="3"/>
    <x v="263"/>
    <n v="437776.77"/>
    <n v="16"/>
    <n v="91632.85"/>
    <x v="2"/>
    <n v="5"/>
    <x v="1"/>
  </r>
  <r>
    <s v="2024-04-08"/>
    <x v="266"/>
    <x v="3"/>
    <x v="2"/>
    <x v="10"/>
    <x v="264"/>
    <n v="78401.47"/>
    <n v="15"/>
    <n v="7066.67"/>
    <x v="5"/>
    <n v="4"/>
    <x v="1"/>
  </r>
  <r>
    <s v="2025-09-25"/>
    <x v="267"/>
    <x v="3"/>
    <x v="2"/>
    <x v="9"/>
    <x v="265"/>
    <n v="237722.13"/>
    <n v="4"/>
    <n v="31689.19"/>
    <x v="7"/>
    <n v="9"/>
    <x v="0"/>
  </r>
  <r>
    <s v="2024-06-06"/>
    <x v="268"/>
    <x v="5"/>
    <x v="1"/>
    <x v="11"/>
    <x v="266"/>
    <n v="243715.91"/>
    <n v="39"/>
    <n v="53546.98"/>
    <x v="10"/>
    <n v="6"/>
    <x v="1"/>
  </r>
  <r>
    <s v="2024-03-30"/>
    <x v="269"/>
    <x v="7"/>
    <x v="1"/>
    <x v="11"/>
    <x v="267"/>
    <n v="496506.56"/>
    <n v="18"/>
    <n v="81957.990000000005"/>
    <x v="11"/>
    <n v="3"/>
    <x v="1"/>
  </r>
  <r>
    <s v="2025-05-21"/>
    <x v="270"/>
    <x v="5"/>
    <x v="1"/>
    <x v="4"/>
    <x v="268"/>
    <n v="275506.69"/>
    <n v="40"/>
    <n v="46558.16"/>
    <x v="2"/>
    <n v="5"/>
    <x v="0"/>
  </r>
  <r>
    <s v="2024-11-01"/>
    <x v="271"/>
    <x v="0"/>
    <x v="2"/>
    <x v="9"/>
    <x v="269"/>
    <n v="113843.38"/>
    <n v="35"/>
    <n v="9401.51"/>
    <x v="1"/>
    <n v="11"/>
    <x v="1"/>
  </r>
  <r>
    <s v="2024-10-06"/>
    <x v="272"/>
    <x v="5"/>
    <x v="2"/>
    <x v="6"/>
    <x v="270"/>
    <n v="10084.120000000001"/>
    <n v="22"/>
    <n v="1790.23"/>
    <x v="0"/>
    <n v="10"/>
    <x v="1"/>
  </r>
  <r>
    <s v="2024-10-25"/>
    <x v="273"/>
    <x v="7"/>
    <x v="1"/>
    <x v="4"/>
    <x v="271"/>
    <n v="413882.1"/>
    <n v="43"/>
    <n v="35361.33"/>
    <x v="0"/>
    <n v="10"/>
    <x v="1"/>
  </r>
  <r>
    <s v="2025-01-29"/>
    <x v="274"/>
    <x v="9"/>
    <x v="2"/>
    <x v="9"/>
    <x v="272"/>
    <n v="473874.21"/>
    <n v="46"/>
    <n v="62864.72"/>
    <x v="6"/>
    <n v="1"/>
    <x v="0"/>
  </r>
  <r>
    <s v="2025-04-23"/>
    <x v="275"/>
    <x v="0"/>
    <x v="2"/>
    <x v="10"/>
    <x v="273"/>
    <n v="245926.59"/>
    <n v="31"/>
    <n v="15709.77"/>
    <x v="5"/>
    <n v="4"/>
    <x v="0"/>
  </r>
  <r>
    <s v="2025-07-24"/>
    <x v="276"/>
    <x v="3"/>
    <x v="0"/>
    <x v="3"/>
    <x v="274"/>
    <n v="480298.05"/>
    <n v="27"/>
    <n v="40067"/>
    <x v="4"/>
    <n v="7"/>
    <x v="0"/>
  </r>
  <r>
    <s v="2025-09-08"/>
    <x v="277"/>
    <x v="9"/>
    <x v="1"/>
    <x v="4"/>
    <x v="275"/>
    <n v="146046.18"/>
    <n v="47"/>
    <n v="11868.78"/>
    <x v="7"/>
    <n v="9"/>
    <x v="0"/>
  </r>
  <r>
    <s v="2025-06-21"/>
    <x v="278"/>
    <x v="8"/>
    <x v="0"/>
    <x v="3"/>
    <x v="276"/>
    <n v="200012.16"/>
    <n v="14"/>
    <n v="45987.33"/>
    <x v="10"/>
    <n v="6"/>
    <x v="0"/>
  </r>
  <r>
    <s v="2024-08-01"/>
    <x v="279"/>
    <x v="5"/>
    <x v="2"/>
    <x v="8"/>
    <x v="277"/>
    <n v="298654"/>
    <n v="8"/>
    <n v="61788.03"/>
    <x v="3"/>
    <n v="8"/>
    <x v="1"/>
  </r>
  <r>
    <s v="2025-04-22"/>
    <x v="280"/>
    <x v="9"/>
    <x v="1"/>
    <x v="7"/>
    <x v="278"/>
    <n v="484302.9"/>
    <n v="36"/>
    <n v="114862.71"/>
    <x v="5"/>
    <n v="4"/>
    <x v="0"/>
  </r>
  <r>
    <s v="2025-01-23"/>
    <x v="281"/>
    <x v="5"/>
    <x v="0"/>
    <x v="3"/>
    <x v="279"/>
    <n v="118444.22"/>
    <n v="44"/>
    <n v="18638.11"/>
    <x v="6"/>
    <n v="1"/>
    <x v="0"/>
  </r>
  <r>
    <s v="2024-02-26"/>
    <x v="282"/>
    <x v="0"/>
    <x v="2"/>
    <x v="9"/>
    <x v="280"/>
    <n v="115383.79"/>
    <n v="11"/>
    <n v="21383.96"/>
    <x v="8"/>
    <n v="2"/>
    <x v="1"/>
  </r>
  <r>
    <s v="2024-01-18"/>
    <x v="283"/>
    <x v="5"/>
    <x v="2"/>
    <x v="10"/>
    <x v="281"/>
    <n v="300314.25"/>
    <n v="4"/>
    <n v="61223.6"/>
    <x v="6"/>
    <n v="1"/>
    <x v="1"/>
  </r>
  <r>
    <s v="2025-03-11"/>
    <x v="284"/>
    <x v="8"/>
    <x v="0"/>
    <x v="0"/>
    <x v="282"/>
    <n v="75952.95"/>
    <n v="32"/>
    <n v="9464.1200000000008"/>
    <x v="11"/>
    <n v="3"/>
    <x v="0"/>
  </r>
  <r>
    <s v="2024-02-01"/>
    <x v="285"/>
    <x v="0"/>
    <x v="2"/>
    <x v="6"/>
    <x v="283"/>
    <n v="249174.72"/>
    <n v="48"/>
    <n v="20478.740000000002"/>
    <x v="8"/>
    <n v="2"/>
    <x v="1"/>
  </r>
  <r>
    <s v="2024-07-30"/>
    <x v="286"/>
    <x v="3"/>
    <x v="0"/>
    <x v="5"/>
    <x v="284"/>
    <n v="459299.08"/>
    <n v="34"/>
    <n v="67866.16"/>
    <x v="4"/>
    <n v="7"/>
    <x v="1"/>
  </r>
  <r>
    <s v="2024-11-18"/>
    <x v="287"/>
    <x v="1"/>
    <x v="1"/>
    <x v="2"/>
    <x v="285"/>
    <n v="172139.21"/>
    <n v="19"/>
    <n v="19377.330000000002"/>
    <x v="1"/>
    <n v="11"/>
    <x v="1"/>
  </r>
  <r>
    <s v="2025-04-22"/>
    <x v="288"/>
    <x v="7"/>
    <x v="1"/>
    <x v="7"/>
    <x v="286"/>
    <n v="425147.69"/>
    <n v="23"/>
    <n v="32499.8"/>
    <x v="5"/>
    <n v="4"/>
    <x v="0"/>
  </r>
  <r>
    <s v="2025-12-13"/>
    <x v="289"/>
    <x v="0"/>
    <x v="0"/>
    <x v="1"/>
    <x v="287"/>
    <n v="157490.60999999999"/>
    <n v="18"/>
    <n v="13669.1"/>
    <x v="9"/>
    <n v="12"/>
    <x v="0"/>
  </r>
  <r>
    <s v="2025-05-08"/>
    <x v="290"/>
    <x v="2"/>
    <x v="1"/>
    <x v="2"/>
    <x v="288"/>
    <n v="214088.02"/>
    <n v="9"/>
    <n v="44593.1"/>
    <x v="2"/>
    <n v="5"/>
    <x v="0"/>
  </r>
  <r>
    <s v="2024-12-04"/>
    <x v="291"/>
    <x v="6"/>
    <x v="0"/>
    <x v="3"/>
    <x v="289"/>
    <n v="136453.49"/>
    <n v="19"/>
    <n v="18397.63"/>
    <x v="9"/>
    <n v="12"/>
    <x v="1"/>
  </r>
  <r>
    <s v="2024-07-01"/>
    <x v="292"/>
    <x v="1"/>
    <x v="1"/>
    <x v="2"/>
    <x v="290"/>
    <n v="35271.24"/>
    <n v="19"/>
    <n v="2266.17"/>
    <x v="4"/>
    <n v="7"/>
    <x v="1"/>
  </r>
  <r>
    <s v="2024-10-25"/>
    <x v="293"/>
    <x v="2"/>
    <x v="2"/>
    <x v="10"/>
    <x v="291"/>
    <n v="258143.35999999999"/>
    <n v="27"/>
    <n v="25421.4"/>
    <x v="0"/>
    <n v="10"/>
    <x v="1"/>
  </r>
  <r>
    <s v="2024-09-25"/>
    <x v="294"/>
    <x v="8"/>
    <x v="2"/>
    <x v="6"/>
    <x v="292"/>
    <n v="268674.96999999997"/>
    <n v="43"/>
    <n v="46666.62"/>
    <x v="7"/>
    <n v="9"/>
    <x v="1"/>
  </r>
  <r>
    <s v="2025-11-23"/>
    <x v="295"/>
    <x v="6"/>
    <x v="0"/>
    <x v="1"/>
    <x v="293"/>
    <n v="122914.31"/>
    <n v="23"/>
    <n v="27228.79"/>
    <x v="1"/>
    <n v="11"/>
    <x v="0"/>
  </r>
  <r>
    <s v="2025-08-31"/>
    <x v="296"/>
    <x v="6"/>
    <x v="2"/>
    <x v="9"/>
    <x v="294"/>
    <n v="149280.42000000001"/>
    <n v="11"/>
    <n v="9748.35"/>
    <x v="3"/>
    <n v="8"/>
    <x v="0"/>
  </r>
  <r>
    <s v="2024-10-05"/>
    <x v="297"/>
    <x v="5"/>
    <x v="2"/>
    <x v="9"/>
    <x v="295"/>
    <n v="336735.37"/>
    <n v="31"/>
    <n v="23645.39"/>
    <x v="0"/>
    <n v="10"/>
    <x v="1"/>
  </r>
  <r>
    <s v="2024-06-19"/>
    <x v="298"/>
    <x v="6"/>
    <x v="1"/>
    <x v="2"/>
    <x v="296"/>
    <n v="140809"/>
    <n v="35"/>
    <n v="24140.93"/>
    <x v="10"/>
    <n v="6"/>
    <x v="1"/>
  </r>
  <r>
    <s v="2024-01-31"/>
    <x v="299"/>
    <x v="5"/>
    <x v="2"/>
    <x v="9"/>
    <x v="297"/>
    <n v="327966.42"/>
    <n v="11"/>
    <n v="41946.37"/>
    <x v="6"/>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CE93E-5079-405D-8601-6D141F14178F}" name="PivotTable39"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2:D106" firstHeaderRow="1" firstDataRow="2" firstDataCol="1"/>
  <pivotFields count="12">
    <pivotField showAll="0"/>
    <pivotField showAll="0"/>
    <pivotField showAll="0"/>
    <pivotField showAll="0">
      <items count="4">
        <item x="2"/>
        <item x="0"/>
        <item x="1"/>
        <item t="default"/>
      </items>
    </pivotField>
    <pivotField showAll="0"/>
    <pivotField showAll="0">
      <items count="299">
        <item x="177"/>
        <item x="70"/>
        <item x="11"/>
        <item x="28"/>
        <item x="10"/>
        <item x="184"/>
        <item x="175"/>
        <item x="246"/>
        <item x="195"/>
        <item x="107"/>
        <item x="38"/>
        <item x="42"/>
        <item x="151"/>
        <item x="270"/>
        <item x="206"/>
        <item x="23"/>
        <item x="191"/>
        <item x="225"/>
        <item x="72"/>
        <item x="252"/>
        <item x="109"/>
        <item x="218"/>
        <item x="292"/>
        <item x="197"/>
        <item x="283"/>
        <item x="13"/>
        <item x="86"/>
        <item x="8"/>
        <item x="256"/>
        <item x="29"/>
        <item x="41"/>
        <item x="178"/>
        <item x="120"/>
        <item x="284"/>
        <item x="192"/>
        <item x="174"/>
        <item x="158"/>
        <item x="238"/>
        <item x="16"/>
        <item x="51"/>
        <item x="106"/>
        <item x="71"/>
        <item x="136"/>
        <item x="226"/>
        <item x="47"/>
        <item x="26"/>
        <item x="77"/>
        <item x="150"/>
        <item x="160"/>
        <item x="113"/>
        <item x="14"/>
        <item x="189"/>
        <item x="243"/>
        <item x="222"/>
        <item x="105"/>
        <item x="190"/>
        <item x="80"/>
        <item x="5"/>
        <item x="231"/>
        <item x="48"/>
        <item x="275"/>
        <item x="224"/>
        <item x="6"/>
        <item x="78"/>
        <item x="207"/>
        <item x="271"/>
        <item x="35"/>
        <item x="172"/>
        <item x="140"/>
        <item x="62"/>
        <item x="94"/>
        <item x="268"/>
        <item x="128"/>
        <item x="58"/>
        <item x="87"/>
        <item x="63"/>
        <item x="155"/>
        <item x="131"/>
        <item x="291"/>
        <item x="264"/>
        <item x="258"/>
        <item x="281"/>
        <item x="251"/>
        <item x="209"/>
        <item x="230"/>
        <item x="39"/>
        <item x="185"/>
        <item x="110"/>
        <item x="232"/>
        <item x="93"/>
        <item x="170"/>
        <item x="273"/>
        <item x="127"/>
        <item x="99"/>
        <item x="122"/>
        <item x="119"/>
        <item x="30"/>
        <item x="81"/>
        <item x="187"/>
        <item x="239"/>
        <item x="49"/>
        <item x="9"/>
        <item x="154"/>
        <item x="34"/>
        <item x="4"/>
        <item x="2"/>
        <item x="290"/>
        <item x="148"/>
        <item x="210"/>
        <item x="53"/>
        <item x="91"/>
        <item x="152"/>
        <item x="216"/>
        <item x="288"/>
        <item x="285"/>
        <item x="139"/>
        <item x="135"/>
        <item x="296"/>
        <item x="163"/>
        <item x="57"/>
        <item x="181"/>
        <item x="199"/>
        <item x="228"/>
        <item x="114"/>
        <item x="45"/>
        <item x="137"/>
        <item x="267"/>
        <item x="130"/>
        <item x="204"/>
        <item x="249"/>
        <item x="147"/>
        <item x="159"/>
        <item x="55"/>
        <item x="245"/>
        <item x="200"/>
        <item x="149"/>
        <item x="266"/>
        <item x="236"/>
        <item x="124"/>
        <item x="241"/>
        <item x="73"/>
        <item x="212"/>
        <item x="96"/>
        <item x="208"/>
        <item x="182"/>
        <item x="277"/>
        <item x="168"/>
        <item x="257"/>
        <item x="211"/>
        <item x="166"/>
        <item x="162"/>
        <item x="169"/>
        <item x="27"/>
        <item x="52"/>
        <item x="17"/>
        <item x="214"/>
        <item x="37"/>
        <item x="260"/>
        <item x="98"/>
        <item x="82"/>
        <item x="43"/>
        <item x="25"/>
        <item x="261"/>
        <item x="248"/>
        <item x="79"/>
        <item x="293"/>
        <item x="18"/>
        <item x="19"/>
        <item x="134"/>
        <item x="20"/>
        <item x="138"/>
        <item x="103"/>
        <item x="164"/>
        <item x="144"/>
        <item x="22"/>
        <item x="217"/>
        <item x="287"/>
        <item x="202"/>
        <item x="255"/>
        <item x="7"/>
        <item x="100"/>
        <item x="31"/>
        <item x="61"/>
        <item x="198"/>
        <item x="244"/>
        <item x="21"/>
        <item x="1"/>
        <item x="215"/>
        <item x="156"/>
        <item x="183"/>
        <item x="64"/>
        <item x="205"/>
        <item x="193"/>
        <item x="111"/>
        <item x="194"/>
        <item x="133"/>
        <item x="227"/>
        <item x="54"/>
        <item x="141"/>
        <item x="0"/>
        <item x="234"/>
        <item x="12"/>
        <item x="123"/>
        <item x="68"/>
        <item x="97"/>
        <item x="242"/>
        <item x="176"/>
        <item x="115"/>
        <item x="76"/>
        <item x="282"/>
        <item x="235"/>
        <item x="125"/>
        <item x="129"/>
        <item x="90"/>
        <item x="116"/>
        <item x="59"/>
        <item x="213"/>
        <item x="203"/>
        <item x="32"/>
        <item x="167"/>
        <item x="40"/>
        <item x="229"/>
        <item x="92"/>
        <item x="75"/>
        <item x="286"/>
        <item x="95"/>
        <item x="278"/>
        <item x="250"/>
        <item x="102"/>
        <item x="259"/>
        <item x="69"/>
        <item x="15"/>
        <item x="237"/>
        <item x="83"/>
        <item x="50"/>
        <item x="233"/>
        <item x="145"/>
        <item x="74"/>
        <item x="196"/>
        <item x="142"/>
        <item x="263"/>
        <item x="85"/>
        <item x="56"/>
        <item x="36"/>
        <item x="118"/>
        <item x="289"/>
        <item x="33"/>
        <item x="220"/>
        <item x="262"/>
        <item x="84"/>
        <item x="132"/>
        <item x="165"/>
        <item x="274"/>
        <item x="3"/>
        <item x="180"/>
        <item x="161"/>
        <item x="276"/>
        <item x="89"/>
        <item x="65"/>
        <item x="173"/>
        <item x="201"/>
        <item x="279"/>
        <item x="188"/>
        <item x="146"/>
        <item x="240"/>
        <item x="101"/>
        <item x="153"/>
        <item x="247"/>
        <item x="121"/>
        <item x="112"/>
        <item x="104"/>
        <item x="143"/>
        <item x="186"/>
        <item x="179"/>
        <item x="88"/>
        <item x="219"/>
        <item x="108"/>
        <item x="223"/>
        <item x="272"/>
        <item x="254"/>
        <item x="269"/>
        <item x="221"/>
        <item x="297"/>
        <item x="60"/>
        <item x="253"/>
        <item x="44"/>
        <item x="157"/>
        <item x="117"/>
        <item x="24"/>
        <item x="171"/>
        <item x="265"/>
        <item x="280"/>
        <item x="66"/>
        <item x="295"/>
        <item x="294"/>
        <item x="46"/>
        <item x="67"/>
        <item x="126"/>
        <item t="default"/>
      </items>
    </pivotField>
    <pivotField dataField="1" showAll="0"/>
    <pivotField showAll="0"/>
    <pivotField showAll="0"/>
    <pivotField axis="axisRow" showAll="0">
      <items count="13">
        <item x="6"/>
        <item x="8"/>
        <item x="11"/>
        <item x="5"/>
        <item x="2"/>
        <item x="10"/>
        <item x="4"/>
        <item x="3"/>
        <item x="7"/>
        <item x="0"/>
        <item x="1"/>
        <item x="9"/>
        <item t="default"/>
      </items>
    </pivotField>
    <pivotField showAll="0"/>
    <pivotField axis="axisCol" showAll="0">
      <items count="3">
        <item x="1"/>
        <item x="0"/>
        <item t="default"/>
      </items>
    </pivotField>
  </pivotFields>
  <rowFields count="1">
    <field x="9"/>
  </rowFields>
  <rowItems count="13">
    <i>
      <x/>
    </i>
    <i>
      <x v="1"/>
    </i>
    <i>
      <x v="2"/>
    </i>
    <i>
      <x v="3"/>
    </i>
    <i>
      <x v="4"/>
    </i>
    <i>
      <x v="5"/>
    </i>
    <i>
      <x v="6"/>
    </i>
    <i>
      <x v="7"/>
    </i>
    <i>
      <x v="8"/>
    </i>
    <i>
      <x v="9"/>
    </i>
    <i>
      <x v="10"/>
    </i>
    <i>
      <x v="11"/>
    </i>
    <i t="grand">
      <x/>
    </i>
  </rowItems>
  <colFields count="1">
    <field x="11"/>
  </colFields>
  <colItems count="3">
    <i>
      <x/>
    </i>
    <i>
      <x v="1"/>
    </i>
    <i t="grand">
      <x/>
    </i>
  </colItems>
  <dataFields count="1">
    <dataField name="Sum of Sales" fld="6" baseField="0" baseItem="0"/>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0"/>
          </reference>
        </references>
      </pivotArea>
    </chartFormat>
    <chartFormat chart="4"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5C3992-EBD8-4660-8D56-CBC4D9619C86}" name="PivotTable30"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3:U17" firstHeaderRow="1" firstDataRow="2" firstDataCol="1"/>
  <pivotFields count="12">
    <pivotField showAll="0"/>
    <pivotField showAll="0"/>
    <pivotField showAll="0"/>
    <pivotField showAll="0">
      <items count="4">
        <item x="2"/>
        <item x="0"/>
        <item x="1"/>
        <item t="default"/>
      </items>
    </pivotField>
    <pivotField showAll="0"/>
    <pivotField showAll="0">
      <items count="299">
        <item x="177"/>
        <item x="70"/>
        <item x="11"/>
        <item x="28"/>
        <item x="10"/>
        <item x="184"/>
        <item x="175"/>
        <item x="246"/>
        <item x="195"/>
        <item x="107"/>
        <item x="38"/>
        <item x="42"/>
        <item x="151"/>
        <item x="270"/>
        <item x="206"/>
        <item x="23"/>
        <item x="191"/>
        <item x="225"/>
        <item x="72"/>
        <item x="252"/>
        <item x="109"/>
        <item x="218"/>
        <item x="292"/>
        <item x="197"/>
        <item x="283"/>
        <item x="13"/>
        <item x="86"/>
        <item x="8"/>
        <item x="256"/>
        <item x="29"/>
        <item x="41"/>
        <item x="178"/>
        <item x="120"/>
        <item x="284"/>
        <item x="192"/>
        <item x="174"/>
        <item x="158"/>
        <item x="238"/>
        <item x="16"/>
        <item x="51"/>
        <item x="106"/>
        <item x="71"/>
        <item x="136"/>
        <item x="226"/>
        <item x="47"/>
        <item x="26"/>
        <item x="77"/>
        <item x="150"/>
        <item x="160"/>
        <item x="113"/>
        <item x="14"/>
        <item x="189"/>
        <item x="243"/>
        <item x="222"/>
        <item x="105"/>
        <item x="190"/>
        <item x="80"/>
        <item x="5"/>
        <item x="231"/>
        <item x="48"/>
        <item x="275"/>
        <item x="224"/>
        <item x="6"/>
        <item x="78"/>
        <item x="207"/>
        <item x="271"/>
        <item x="35"/>
        <item x="172"/>
        <item x="140"/>
        <item x="62"/>
        <item x="94"/>
        <item x="268"/>
        <item x="128"/>
        <item x="58"/>
        <item x="87"/>
        <item x="63"/>
        <item x="155"/>
        <item x="131"/>
        <item x="291"/>
        <item x="264"/>
        <item x="258"/>
        <item x="281"/>
        <item x="251"/>
        <item x="209"/>
        <item x="230"/>
        <item x="39"/>
        <item x="185"/>
        <item x="110"/>
        <item x="232"/>
        <item x="93"/>
        <item x="170"/>
        <item x="273"/>
        <item x="127"/>
        <item x="99"/>
        <item x="122"/>
        <item x="119"/>
        <item x="30"/>
        <item x="81"/>
        <item x="187"/>
        <item x="239"/>
        <item x="49"/>
        <item x="9"/>
        <item x="154"/>
        <item x="34"/>
        <item x="4"/>
        <item x="2"/>
        <item x="290"/>
        <item x="148"/>
        <item x="210"/>
        <item x="53"/>
        <item x="91"/>
        <item x="152"/>
        <item x="216"/>
        <item x="288"/>
        <item x="285"/>
        <item x="139"/>
        <item x="135"/>
        <item x="296"/>
        <item x="163"/>
        <item x="57"/>
        <item x="181"/>
        <item x="199"/>
        <item x="228"/>
        <item x="114"/>
        <item x="45"/>
        <item x="137"/>
        <item x="267"/>
        <item x="130"/>
        <item x="204"/>
        <item x="249"/>
        <item x="147"/>
        <item x="159"/>
        <item x="55"/>
        <item x="245"/>
        <item x="200"/>
        <item x="149"/>
        <item x="266"/>
        <item x="236"/>
        <item x="124"/>
        <item x="241"/>
        <item x="73"/>
        <item x="212"/>
        <item x="96"/>
        <item x="208"/>
        <item x="182"/>
        <item x="277"/>
        <item x="168"/>
        <item x="257"/>
        <item x="211"/>
        <item x="166"/>
        <item x="162"/>
        <item x="169"/>
        <item x="27"/>
        <item x="52"/>
        <item x="17"/>
        <item x="214"/>
        <item x="37"/>
        <item x="260"/>
        <item x="98"/>
        <item x="82"/>
        <item x="43"/>
        <item x="25"/>
        <item x="261"/>
        <item x="248"/>
        <item x="79"/>
        <item x="293"/>
        <item x="18"/>
        <item x="19"/>
        <item x="134"/>
        <item x="20"/>
        <item x="138"/>
        <item x="103"/>
        <item x="164"/>
        <item x="144"/>
        <item x="22"/>
        <item x="217"/>
        <item x="287"/>
        <item x="202"/>
        <item x="255"/>
        <item x="7"/>
        <item x="100"/>
        <item x="31"/>
        <item x="61"/>
        <item x="198"/>
        <item x="244"/>
        <item x="21"/>
        <item x="1"/>
        <item x="215"/>
        <item x="156"/>
        <item x="183"/>
        <item x="64"/>
        <item x="205"/>
        <item x="193"/>
        <item x="111"/>
        <item x="194"/>
        <item x="133"/>
        <item x="227"/>
        <item x="54"/>
        <item x="141"/>
        <item x="0"/>
        <item x="234"/>
        <item x="12"/>
        <item x="123"/>
        <item x="68"/>
        <item x="97"/>
        <item x="242"/>
        <item x="176"/>
        <item x="115"/>
        <item x="76"/>
        <item x="282"/>
        <item x="235"/>
        <item x="125"/>
        <item x="129"/>
        <item x="90"/>
        <item x="116"/>
        <item x="59"/>
        <item x="213"/>
        <item x="203"/>
        <item x="32"/>
        <item x="167"/>
        <item x="40"/>
        <item x="229"/>
        <item x="92"/>
        <item x="75"/>
        <item x="286"/>
        <item x="95"/>
        <item x="278"/>
        <item x="250"/>
        <item x="102"/>
        <item x="259"/>
        <item x="69"/>
        <item x="15"/>
        <item x="237"/>
        <item x="83"/>
        <item x="50"/>
        <item x="233"/>
        <item x="145"/>
        <item x="74"/>
        <item x="196"/>
        <item x="142"/>
        <item x="263"/>
        <item x="85"/>
        <item x="56"/>
        <item x="36"/>
        <item x="118"/>
        <item x="289"/>
        <item x="33"/>
        <item x="220"/>
        <item x="262"/>
        <item x="84"/>
        <item x="132"/>
        <item x="165"/>
        <item x="274"/>
        <item x="3"/>
        <item x="180"/>
        <item x="161"/>
        <item x="276"/>
        <item x="89"/>
        <item x="65"/>
        <item x="173"/>
        <item x="201"/>
        <item x="279"/>
        <item x="188"/>
        <item x="146"/>
        <item x="240"/>
        <item x="101"/>
        <item x="153"/>
        <item x="247"/>
        <item x="121"/>
        <item x="112"/>
        <item x="104"/>
        <item x="143"/>
        <item x="186"/>
        <item x="179"/>
        <item x="88"/>
        <item x="219"/>
        <item x="108"/>
        <item x="223"/>
        <item x="272"/>
        <item x="254"/>
        <item x="269"/>
        <item x="221"/>
        <item x="297"/>
        <item x="60"/>
        <item x="253"/>
        <item x="44"/>
        <item x="157"/>
        <item x="117"/>
        <item x="24"/>
        <item x="171"/>
        <item x="265"/>
        <item x="280"/>
        <item x="66"/>
        <item x="295"/>
        <item x="294"/>
        <item x="46"/>
        <item x="67"/>
        <item x="126"/>
        <item t="default"/>
      </items>
    </pivotField>
    <pivotField dataField="1" showAll="0"/>
    <pivotField showAll="0"/>
    <pivotField showAll="0"/>
    <pivotField axis="axisRow" showAll="0">
      <items count="13">
        <item x="6"/>
        <item x="8"/>
        <item x="11"/>
        <item x="5"/>
        <item x="2"/>
        <item x="10"/>
        <item x="4"/>
        <item x="3"/>
        <item x="7"/>
        <item x="0"/>
        <item x="1"/>
        <item x="9"/>
        <item t="default"/>
      </items>
    </pivotField>
    <pivotField showAll="0"/>
    <pivotField axis="axisCol" showAll="0">
      <items count="3">
        <item x="1"/>
        <item x="0"/>
        <item t="default"/>
      </items>
    </pivotField>
  </pivotFields>
  <rowFields count="1">
    <field x="9"/>
  </rowFields>
  <rowItems count="13">
    <i>
      <x/>
    </i>
    <i>
      <x v="1"/>
    </i>
    <i>
      <x v="2"/>
    </i>
    <i>
      <x v="3"/>
    </i>
    <i>
      <x v="4"/>
    </i>
    <i>
      <x v="5"/>
    </i>
    <i>
      <x v="6"/>
    </i>
    <i>
      <x v="7"/>
    </i>
    <i>
      <x v="8"/>
    </i>
    <i>
      <x v="9"/>
    </i>
    <i>
      <x v="10"/>
    </i>
    <i>
      <x v="11"/>
    </i>
    <i t="grand">
      <x/>
    </i>
  </rowItems>
  <colFields count="1">
    <field x="11"/>
  </colFields>
  <colItems count="3">
    <i>
      <x/>
    </i>
    <i>
      <x v="1"/>
    </i>
    <i t="grand">
      <x/>
    </i>
  </colItems>
  <dataFields count="1">
    <dataField name="Sum of Sales" fld="6" baseField="0" baseItem="0"/>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0"/>
          </reference>
        </references>
      </pivotArea>
    </chartFormat>
    <chartFormat chart="4"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9E594-6971-4B55-A392-BE4C07E1029F}" name="PivotTable28"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7:B88" firstHeaderRow="1" firstDataRow="1" firstDataCol="1"/>
  <pivotFields count="12">
    <pivotField showAll="0"/>
    <pivotField showAll="0"/>
    <pivotField axis="axisRow" showAll="0">
      <items count="11">
        <item x="8"/>
        <item x="0"/>
        <item x="4"/>
        <item x="3"/>
        <item x="1"/>
        <item x="6"/>
        <item x="7"/>
        <item x="5"/>
        <item x="2"/>
        <item x="9"/>
        <item t="default"/>
      </items>
    </pivotField>
    <pivotField showAll="0">
      <items count="4">
        <item x="2"/>
        <item x="0"/>
        <item x="1"/>
        <item t="default"/>
      </items>
    </pivotField>
    <pivotField showAll="0"/>
    <pivotField showAll="0"/>
    <pivotField dataField="1" showAll="0"/>
    <pivotField showAll="0"/>
    <pivotField showAll="0"/>
    <pivotField showAll="0">
      <items count="13">
        <item x="6"/>
        <item x="8"/>
        <item x="11"/>
        <item x="5"/>
        <item x="2"/>
        <item x="10"/>
        <item x="4"/>
        <item x="3"/>
        <item x="7"/>
        <item x="0"/>
        <item x="1"/>
        <item x="9"/>
        <item t="default"/>
      </items>
    </pivotField>
    <pivotField showAll="0"/>
    <pivotField showAll="0">
      <items count="3">
        <item x="1"/>
        <item x="0"/>
        <item t="default"/>
      </items>
    </pivotField>
  </pivotFields>
  <rowFields count="1">
    <field x="2"/>
  </rowFields>
  <rowItems count="11">
    <i>
      <x/>
    </i>
    <i>
      <x v="1"/>
    </i>
    <i>
      <x v="2"/>
    </i>
    <i>
      <x v="3"/>
    </i>
    <i>
      <x v="4"/>
    </i>
    <i>
      <x v="5"/>
    </i>
    <i>
      <x v="6"/>
    </i>
    <i>
      <x v="7"/>
    </i>
    <i>
      <x v="8"/>
    </i>
    <i>
      <x v="9"/>
    </i>
    <i t="grand">
      <x/>
    </i>
  </rowItems>
  <colItems count="1">
    <i/>
  </colItems>
  <dataFields count="1">
    <dataField name="Sum of Sales" fld="6" baseField="2" baseItem="0"/>
  </dataFields>
  <formats count="1">
    <format dxfId="2">
      <pivotArea outline="0" collapsedLevelsAreSubtotals="1" fieldPosition="0"/>
    </format>
  </format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017887-5203-45BF-A755-AF7AEEF2E36F}" name="PivotTable2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0:B73" firstHeaderRow="1" firstDataRow="1" firstDataCol="1"/>
  <pivotFields count="12">
    <pivotField showAll="0"/>
    <pivotField showAll="0"/>
    <pivotField showAll="0"/>
    <pivotField showAll="0">
      <items count="4">
        <item x="2"/>
        <item x="0"/>
        <item x="1"/>
        <item t="default"/>
      </items>
    </pivotField>
    <pivotField showAll="0"/>
    <pivotField showAll="0"/>
    <pivotField dataField="1" showAll="0"/>
    <pivotField showAll="0"/>
    <pivotField showAll="0"/>
    <pivotField axis="axisRow" showAll="0">
      <items count="13">
        <item x="6"/>
        <item x="8"/>
        <item x="11"/>
        <item x="5"/>
        <item x="2"/>
        <item x="10"/>
        <item x="4"/>
        <item x="3"/>
        <item x="7"/>
        <item x="0"/>
        <item x="1"/>
        <item x="9"/>
        <item t="default"/>
      </items>
    </pivotField>
    <pivotField showAll="0"/>
    <pivotField showAll="0">
      <items count="3">
        <item x="1"/>
        <item x="0"/>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dxfId="3">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8279B9-DB4A-44EB-9543-B0170F68206D}" name="PivotTable2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A45:B51" firstHeaderRow="1" firstDataRow="1" firstDataCol="1"/>
  <pivotFields count="12">
    <pivotField showAll="0"/>
    <pivotField axis="axisRow" showAll="0" measureFilter="1" sortType="ascending">
      <items count="301">
        <item x="140"/>
        <item x="81"/>
        <item x="222"/>
        <item x="150"/>
        <item x="295"/>
        <item x="103"/>
        <item x="3"/>
        <item x="74"/>
        <item x="37"/>
        <item x="275"/>
        <item x="111"/>
        <item x="44"/>
        <item x="71"/>
        <item x="131"/>
        <item x="10"/>
        <item x="272"/>
        <item x="199"/>
        <item x="87"/>
        <item x="6"/>
        <item x="200"/>
        <item x="100"/>
        <item x="155"/>
        <item x="123"/>
        <item x="29"/>
        <item x="198"/>
        <item x="86"/>
        <item x="39"/>
        <item x="132"/>
        <item x="283"/>
        <item x="75"/>
        <item x="154"/>
        <item x="163"/>
        <item x="50"/>
        <item x="125"/>
        <item x="88"/>
        <item x="299"/>
        <item x="170"/>
        <item x="232"/>
        <item x="179"/>
        <item x="51"/>
        <item x="68"/>
        <item x="57"/>
        <item x="129"/>
        <item x="238"/>
        <item x="12"/>
        <item x="172"/>
        <item x="165"/>
        <item x="106"/>
        <item x="269"/>
        <item x="124"/>
        <item x="136"/>
        <item x="121"/>
        <item x="99"/>
        <item x="119"/>
        <item x="291"/>
        <item x="214"/>
        <item x="52"/>
        <item x="279"/>
        <item x="151"/>
        <item x="185"/>
        <item x="65"/>
        <item x="43"/>
        <item x="276"/>
        <item x="187"/>
        <item x="42"/>
        <item x="48"/>
        <item x="211"/>
        <item x="53"/>
        <item x="97"/>
        <item x="61"/>
        <item x="244"/>
        <item x="67"/>
        <item x="242"/>
        <item x="109"/>
        <item x="184"/>
        <item x="218"/>
        <item x="277"/>
        <item x="245"/>
        <item x="186"/>
        <item x="14"/>
        <item x="116"/>
        <item x="296"/>
        <item x="239"/>
        <item x="89"/>
        <item x="135"/>
        <item x="1"/>
        <item x="221"/>
        <item x="73"/>
        <item x="7"/>
        <item x="59"/>
        <item x="64"/>
        <item x="192"/>
        <item x="118"/>
        <item x="41"/>
        <item x="282"/>
        <item x="175"/>
        <item x="148"/>
        <item x="297"/>
        <item x="107"/>
        <item x="126"/>
        <item x="62"/>
        <item x="264"/>
        <item x="181"/>
        <item x="256"/>
        <item x="141"/>
        <item x="60"/>
        <item x="219"/>
        <item x="208"/>
        <item x="183"/>
        <item x="161"/>
        <item x="94"/>
        <item x="16"/>
        <item x="26"/>
        <item x="195"/>
        <item x="49"/>
        <item x="117"/>
        <item x="153"/>
        <item x="146"/>
        <item x="77"/>
        <item x="157"/>
        <item x="45"/>
        <item x="270"/>
        <item x="262"/>
        <item x="263"/>
        <item x="47"/>
        <item x="197"/>
        <item x="196"/>
        <item x="266"/>
        <item x="281"/>
        <item x="190"/>
        <item x="249"/>
        <item x="128"/>
        <item x="289"/>
        <item x="212"/>
        <item x="258"/>
        <item x="130"/>
        <item x="169"/>
        <item x="84"/>
        <item x="78"/>
        <item x="159"/>
        <item x="70"/>
        <item x="90"/>
        <item x="95"/>
        <item x="158"/>
        <item x="85"/>
        <item x="180"/>
        <item x="46"/>
        <item x="261"/>
        <item x="290"/>
        <item x="177"/>
        <item x="27"/>
        <item x="9"/>
        <item x="191"/>
        <item x="13"/>
        <item x="202"/>
        <item x="33"/>
        <item x="252"/>
        <item x="278"/>
        <item x="193"/>
        <item x="4"/>
        <item x="203"/>
        <item x="108"/>
        <item x="237"/>
        <item x="31"/>
        <item x="166"/>
        <item x="229"/>
        <item x="113"/>
        <item x="156"/>
        <item x="69"/>
        <item x="102"/>
        <item x="188"/>
        <item x="122"/>
        <item x="134"/>
        <item x="96"/>
        <item x="80"/>
        <item x="235"/>
        <item x="231"/>
        <item x="228"/>
        <item x="271"/>
        <item x="142"/>
        <item x="240"/>
        <item x="254"/>
        <item x="223"/>
        <item x="66"/>
        <item x="98"/>
        <item x="145"/>
        <item x="11"/>
        <item x="268"/>
        <item x="234"/>
        <item x="205"/>
        <item x="259"/>
        <item x="91"/>
        <item x="260"/>
        <item x="233"/>
        <item x="20"/>
        <item x="178"/>
        <item x="112"/>
        <item x="236"/>
        <item x="133"/>
        <item x="292"/>
        <item x="210"/>
        <item x="285"/>
        <item x="248"/>
        <item x="30"/>
        <item x="28"/>
        <item x="24"/>
        <item x="17"/>
        <item x="189"/>
        <item x="83"/>
        <item x="171"/>
        <item x="225"/>
        <item x="241"/>
        <item x="216"/>
        <item x="23"/>
        <item x="18"/>
        <item x="104"/>
        <item x="93"/>
        <item x="286"/>
        <item x="226"/>
        <item x="0"/>
        <item x="298"/>
        <item x="220"/>
        <item x="280"/>
        <item x="40"/>
        <item x="2"/>
        <item x="164"/>
        <item x="176"/>
        <item x="56"/>
        <item x="251"/>
        <item x="201"/>
        <item x="152"/>
        <item x="207"/>
        <item x="5"/>
        <item x="92"/>
        <item x="19"/>
        <item x="168"/>
        <item x="288"/>
        <item x="267"/>
        <item x="8"/>
        <item x="36"/>
        <item x="213"/>
        <item x="274"/>
        <item x="82"/>
        <item x="265"/>
        <item x="217"/>
        <item x="227"/>
        <item x="253"/>
        <item x="257"/>
        <item x="120"/>
        <item x="63"/>
        <item x="174"/>
        <item x="105"/>
        <item x="204"/>
        <item x="79"/>
        <item x="21"/>
        <item x="294"/>
        <item x="38"/>
        <item x="34"/>
        <item x="247"/>
        <item x="55"/>
        <item x="127"/>
        <item x="206"/>
        <item x="35"/>
        <item x="287"/>
        <item x="160"/>
        <item x="139"/>
        <item x="215"/>
        <item x="284"/>
        <item x="22"/>
        <item x="143"/>
        <item x="255"/>
        <item x="293"/>
        <item x="110"/>
        <item x="25"/>
        <item x="15"/>
        <item x="250"/>
        <item x="101"/>
        <item x="149"/>
        <item x="54"/>
        <item x="162"/>
        <item x="137"/>
        <item x="273"/>
        <item x="224"/>
        <item x="138"/>
        <item x="76"/>
        <item x="115"/>
        <item x="147"/>
        <item x="167"/>
        <item x="246"/>
        <item x="32"/>
        <item x="114"/>
        <item x="58"/>
        <item x="182"/>
        <item x="173"/>
        <item x="72"/>
        <item x="194"/>
        <item x="144"/>
        <item x="230"/>
        <item x="243"/>
        <item x="209"/>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showAll="0"/>
    <pivotField dataField="1" showAll="0"/>
    <pivotField showAll="0">
      <items count="13">
        <item x="6"/>
        <item x="8"/>
        <item x="11"/>
        <item x="5"/>
        <item x="2"/>
        <item x="10"/>
        <item x="4"/>
        <item x="3"/>
        <item x="7"/>
        <item x="0"/>
        <item x="1"/>
        <item x="9"/>
        <item t="default"/>
      </items>
    </pivotField>
    <pivotField showAll="0"/>
    <pivotField showAll="0">
      <items count="3">
        <item x="1"/>
        <item x="0"/>
        <item t="default"/>
      </items>
    </pivotField>
  </pivotFields>
  <rowFields count="1">
    <field x="1"/>
  </rowFields>
  <rowItems count="6">
    <i>
      <x v="133"/>
    </i>
    <i>
      <x v="159"/>
    </i>
    <i>
      <x v="114"/>
    </i>
    <i>
      <x v="222"/>
    </i>
    <i>
      <x v="33"/>
    </i>
    <i t="grand">
      <x/>
    </i>
  </rowItems>
  <colItems count="1">
    <i/>
  </colItems>
  <dataFields count="1">
    <dataField name="Sum of Profit" fld="8" baseField="0" baseItem="0"/>
  </dataFields>
  <formats count="1">
    <format dxfId="4">
      <pivotArea outline="0" collapsedLevelsAreSubtotals="1" fieldPosition="0"/>
    </format>
  </format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133"/>
          </reference>
        </references>
      </pivotArea>
    </chartFormat>
    <chartFormat chart="3" format="3">
      <pivotArea type="data" outline="0" fieldPosition="0">
        <references count="2">
          <reference field="4294967294" count="1" selected="0">
            <x v="0"/>
          </reference>
          <reference field="1" count="1" selected="0">
            <x v="159"/>
          </reference>
        </references>
      </pivotArea>
    </chartFormat>
    <chartFormat chart="3" format="4">
      <pivotArea type="data" outline="0" fieldPosition="0">
        <references count="2">
          <reference field="4294967294" count="1" selected="0">
            <x v="0"/>
          </reference>
          <reference field="1" count="1" selected="0">
            <x v="114"/>
          </reference>
        </references>
      </pivotArea>
    </chartFormat>
    <chartFormat chart="3" format="5">
      <pivotArea type="data" outline="0" fieldPosition="0">
        <references count="2">
          <reference field="4294967294" count="1" selected="0">
            <x v="0"/>
          </reference>
          <reference field="1" count="1" selected="0">
            <x v="222"/>
          </reference>
        </references>
      </pivotArea>
    </chartFormat>
    <chartFormat chart="3" format="6">
      <pivotArea type="data" outline="0" fieldPosition="0">
        <references count="2">
          <reference field="4294967294" count="1" selected="0">
            <x v="0"/>
          </reference>
          <reference field="1" count="1" selected="0">
            <x v="33"/>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FB507C-3CA0-4C90-8B13-5A66287B030E}" name="PivotTable2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41" firstHeaderRow="1" firstDataRow="1" firstDataCol="1"/>
  <pivotFields count="12">
    <pivotField showAll="0"/>
    <pivotField showAll="0"/>
    <pivotField showAll="0"/>
    <pivotField showAll="0">
      <items count="4">
        <item x="2"/>
        <item x="0"/>
        <item x="1"/>
        <item t="default"/>
      </items>
    </pivotField>
    <pivotField axis="axisRow" showAll="0" sortType="descending">
      <items count="13">
        <item x="6"/>
        <item x="5"/>
        <item x="4"/>
        <item x="10"/>
        <item x="2"/>
        <item x="11"/>
        <item x="8"/>
        <item x="1"/>
        <item x="0"/>
        <item x="7"/>
        <item x="3"/>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6"/>
        <item x="8"/>
        <item x="11"/>
        <item x="5"/>
        <item x="2"/>
        <item x="10"/>
        <item x="4"/>
        <item x="3"/>
        <item x="7"/>
        <item x="0"/>
        <item x="1"/>
        <item x="9"/>
        <item t="default"/>
      </items>
    </pivotField>
    <pivotField showAll="0"/>
    <pivotField showAll="0">
      <items count="3">
        <item x="1"/>
        <item x="0"/>
        <item t="default"/>
      </items>
    </pivotField>
  </pivotFields>
  <rowFields count="1">
    <field x="4"/>
  </rowFields>
  <rowItems count="13">
    <i>
      <x v="11"/>
    </i>
    <i>
      <x v="7"/>
    </i>
    <i>
      <x v="10"/>
    </i>
    <i>
      <x/>
    </i>
    <i>
      <x v="4"/>
    </i>
    <i>
      <x v="9"/>
    </i>
    <i>
      <x v="6"/>
    </i>
    <i>
      <x v="1"/>
    </i>
    <i>
      <x v="3"/>
    </i>
    <i>
      <x v="2"/>
    </i>
    <i>
      <x v="8"/>
    </i>
    <i>
      <x v="5"/>
    </i>
    <i t="grand">
      <x/>
    </i>
  </rowItems>
  <colItems count="1">
    <i/>
  </colItems>
  <dataFields count="1">
    <dataField name="Sum of Sales" fld="6"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65E5C8-46AA-4FAA-8998-157F67274119}" name="PivotTable2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E25" firstHeaderRow="1" firstDataRow="2" firstDataCol="1"/>
  <pivotFields count="12">
    <pivotField showAll="0"/>
    <pivotField showAll="0"/>
    <pivotField showAll="0"/>
    <pivotField axis="axisCol" showAll="0">
      <items count="4">
        <item x="2"/>
        <item x="0"/>
        <item x="1"/>
        <item t="default"/>
      </items>
    </pivotField>
    <pivotField showAll="0"/>
    <pivotField showAll="0"/>
    <pivotField showAll="0"/>
    <pivotField showAll="0"/>
    <pivotField dataField="1" showAll="0"/>
    <pivotField showAll="0">
      <items count="13">
        <item x="6"/>
        <item x="8"/>
        <item x="11"/>
        <item x="5"/>
        <item x="2"/>
        <item x="10"/>
        <item x="4"/>
        <item x="3"/>
        <item x="7"/>
        <item x="0"/>
        <item x="1"/>
        <item x="9"/>
        <item t="default"/>
      </items>
    </pivotField>
    <pivotField showAll="0"/>
    <pivotField axis="axisRow" showAll="0">
      <items count="3">
        <item x="1"/>
        <item x="0"/>
        <item t="default"/>
      </items>
    </pivotField>
  </pivotFields>
  <rowFields count="1">
    <field x="11"/>
  </rowFields>
  <rowItems count="3">
    <i>
      <x/>
    </i>
    <i>
      <x v="1"/>
    </i>
    <i t="grand">
      <x/>
    </i>
  </rowItems>
  <colFields count="1">
    <field x="3"/>
  </colFields>
  <colItems count="4">
    <i>
      <x/>
    </i>
    <i>
      <x v="1"/>
    </i>
    <i>
      <x v="2"/>
    </i>
    <i t="grand">
      <x/>
    </i>
  </colItems>
  <dataFields count="1">
    <dataField name="Sum of Profit" fld="8" baseField="0" baseItem="0"/>
  </dataFields>
  <formats count="1">
    <format dxfId="8">
      <pivotArea outline="0" collapsedLevelsAreSubtotals="1" fieldPosition="0"/>
    </format>
  </formats>
  <chartFormats count="3">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06A7D7-60E3-4F98-BA9B-2C4D46A162ED}" name="PivotTable1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items count="13">
        <item x="6"/>
        <item x="8"/>
        <item x="11"/>
        <item x="5"/>
        <item x="2"/>
        <item x="10"/>
        <item x="4"/>
        <item x="3"/>
        <item x="7"/>
        <item x="0"/>
        <item x="1"/>
        <item x="9"/>
        <item t="default"/>
      </items>
    </pivotField>
    <pivotField showAll="0"/>
    <pivotField showAll="0">
      <items count="3">
        <item x="1"/>
        <item x="0"/>
        <item t="default"/>
      </items>
    </pivotField>
  </pivotFields>
  <rowItems count="1">
    <i/>
  </rowItems>
  <colItems count="1">
    <i/>
  </colItems>
  <dataFields count="1">
    <dataField name="Sum of Profit" fld="8" baseField="0" baseItem="0" numFmtId="16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CE201-EC04-44F2-9DEA-787B11F6E36B}" name="PivotTable1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items count="13">
        <item x="6"/>
        <item x="8"/>
        <item x="11"/>
        <item x="5"/>
        <item x="2"/>
        <item x="10"/>
        <item x="4"/>
        <item x="3"/>
        <item x="7"/>
        <item x="0"/>
        <item x="1"/>
        <item x="9"/>
        <item t="default"/>
      </items>
    </pivotField>
    <pivotField showAll="0"/>
    <pivotField showAll="0">
      <items count="3">
        <item x="1"/>
        <item x="0"/>
        <item t="default"/>
      </items>
    </pivotField>
  </pivotFields>
  <rowItems count="1">
    <i/>
  </rowItems>
  <colItems count="1">
    <i/>
  </colItems>
  <dataFields count="1">
    <dataField name="Sum of Sales" fld="6" baseField="0" baseItem="0" numFmtId="16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598A40-0D3E-40D9-978D-AEA4E281C98D}" sourceName="Category">
  <pivotTables>
    <pivotTable tabId="2" name="PivotTable24"/>
    <pivotTable tabId="2" name="PivotTable16"/>
    <pivotTable tabId="2" name="PivotTable17"/>
    <pivotTable tabId="2" name="PivotTable25"/>
    <pivotTable tabId="2" name="PivotTable26"/>
    <pivotTable tabId="2" name="PivotTable27"/>
    <pivotTable tabId="2" name="PivotTable28"/>
    <pivotTable tabId="2" name="PivotTable30"/>
    <pivotTable tabId="2" name="PivotTable39"/>
  </pivotTables>
  <data>
    <tabular pivotCacheId="64857063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0EB787-6818-4A04-A5E8-7AD7CABA41DF}" sourceName="Month.">
  <pivotTables>
    <pivotTable tabId="2" name="PivotTable24"/>
    <pivotTable tabId="2" name="PivotTable16"/>
    <pivotTable tabId="2" name="PivotTable17"/>
    <pivotTable tabId="2" name="PivotTable25"/>
    <pivotTable tabId="2" name="PivotTable26"/>
    <pivotTable tabId="2" name="PivotTable27"/>
    <pivotTable tabId="2" name="PivotTable28"/>
    <pivotTable tabId="2" name="PivotTable30"/>
    <pivotTable tabId="2" name="PivotTable39"/>
  </pivotTables>
  <data>
    <tabular pivotCacheId="648570637">
      <items count="12">
        <i x="6" s="1"/>
        <i x="8" s="1"/>
        <i x="11" s="1"/>
        <i x="5" s="1"/>
        <i x="2" s="1"/>
        <i x="10" s="1"/>
        <i x="4" s="1"/>
        <i x="3" s="1"/>
        <i x="7" s="1"/>
        <i x="0" s="1"/>
        <i x="1"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387F2C-D4F0-4E4B-B52E-47A65FBAB9BB}" sourceName="Year">
  <pivotTables>
    <pivotTable tabId="2" name="PivotTable24"/>
    <pivotTable tabId="2" name="PivotTable16"/>
    <pivotTable tabId="2" name="PivotTable17"/>
    <pivotTable tabId="2" name="PivotTable25"/>
    <pivotTable tabId="2" name="PivotTable26"/>
    <pivotTable tabId="2" name="PivotTable27"/>
    <pivotTable tabId="2" name="PivotTable28"/>
    <pivotTable tabId="2" name="PivotTable30"/>
    <pivotTable tabId="2" name="PivotTable39"/>
  </pivotTables>
  <data>
    <tabular pivotCacheId="6485706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5361D31-E58E-4C8A-AEA4-D362B2C88EE4}" cache="Slicer_Category" caption="Category" style="SlicerStyleDark1" rowHeight="241300"/>
  <slicer name="Month. 1" xr10:uid="{29C0A25B-1926-4805-9A9F-9D8DFB4E196B}" cache="Slicer_Month." caption="Month." style="SlicerStyleDark1" rowHeight="241300"/>
  <slicer name="Year 1" xr10:uid="{0E392120-3CBF-4C23-AAF3-58C928DE75A5}" cache="Slicer_Year" caption="Yea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BCE5A-8078-4891-8681-A5FFA4957142}" name="Table1" displayName="Table1" ref="A1:L301" totalsRowShown="0" headerRowDxfId="10" headerRowBorderDxfId="11" tableBorderDxfId="12">
  <autoFilter ref="A1:L301" xr:uid="{00000000-0001-0000-0000-000000000000}"/>
  <tableColumns count="12">
    <tableColumn id="1" xr3:uid="{5DAFCC7D-51BF-42DF-9486-3B4C51E5D8DF}" name="Order Date"/>
    <tableColumn id="2" xr3:uid="{313A636A-95BF-4CF1-A6A9-6D0455A9D45A}" name="Customer Name"/>
    <tableColumn id="3" xr3:uid="{B001EBC6-F983-4FF2-99C4-09137CBB72D6}" name="State"/>
    <tableColumn id="4" xr3:uid="{4ED5B0FD-6924-4974-8E6A-CC2D4C1D270C}" name="Category"/>
    <tableColumn id="5" xr3:uid="{84954CB8-4F69-4598-A81D-BC75B5A350E2}" name="Sub-Category"/>
    <tableColumn id="6" xr3:uid="{AE06FB1C-555E-4BCE-B630-6597B9280F4C}" name="Product Name"/>
    <tableColumn id="7" xr3:uid="{766CCFC9-F853-4E83-BC92-8B40A7FDF633}" name="Sales"/>
    <tableColumn id="8" xr3:uid="{880CE679-C9AE-437C-9B12-D8EDCBDA9D90}" name="Quantity"/>
    <tableColumn id="9" xr3:uid="{17E1ACC6-5554-4282-837C-0BD17073433F}" name="Profit"/>
    <tableColumn id="12" xr3:uid="{6CE87B85-0FEE-4B4D-B477-4BB6E2F277E5}" name="Month." dataDxfId="9">
      <calculatedColumnFormula>TEXT(DATE(2024,Table1[[#This Row],[Month2]],1),"mmmm")</calculatedColumnFormula>
    </tableColumn>
    <tableColumn id="10" xr3:uid="{5351D1F8-D336-427D-B39E-F8ABEAC35161}" name="Month2"/>
    <tableColumn id="11" xr3:uid="{81E89427-0157-4726-BD4E-CFB7541FBB61}" name="Yea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election activeCell="P11" sqref="P11"/>
    </sheetView>
  </sheetViews>
  <sheetFormatPr defaultRowHeight="15" x14ac:dyDescent="0.25"/>
  <cols>
    <col min="1" max="1" width="12.85546875" customWidth="1"/>
    <col min="2" max="2" width="17.42578125" customWidth="1"/>
    <col min="4" max="4" width="11" customWidth="1"/>
    <col min="5" max="5" width="15" customWidth="1"/>
    <col min="6" max="6" width="15.7109375" customWidth="1"/>
    <col min="8" max="8" width="10.85546875" customWidth="1"/>
    <col min="10" max="10" width="14.28515625" customWidth="1"/>
  </cols>
  <sheetData>
    <row r="1" spans="1:12" x14ac:dyDescent="0.25">
      <c r="A1" s="1" t="s">
        <v>0</v>
      </c>
      <c r="B1" s="1" t="s">
        <v>1</v>
      </c>
      <c r="C1" s="1" t="s">
        <v>2</v>
      </c>
      <c r="D1" s="1" t="s">
        <v>3</v>
      </c>
      <c r="E1" s="1" t="s">
        <v>4</v>
      </c>
      <c r="F1" s="1" t="s">
        <v>5</v>
      </c>
      <c r="G1" s="1" t="s">
        <v>6</v>
      </c>
      <c r="H1" s="1" t="s">
        <v>7</v>
      </c>
      <c r="I1" s="1" t="s">
        <v>8</v>
      </c>
      <c r="J1" s="1" t="s">
        <v>881</v>
      </c>
      <c r="K1" s="1" t="s">
        <v>880</v>
      </c>
      <c r="L1" s="1" t="s">
        <v>9</v>
      </c>
    </row>
    <row r="2" spans="1:12" x14ac:dyDescent="0.25">
      <c r="A2" t="s">
        <v>10</v>
      </c>
      <c r="B2" t="s">
        <v>249</v>
      </c>
      <c r="C2" t="s">
        <v>549</v>
      </c>
      <c r="D2" t="s">
        <v>559</v>
      </c>
      <c r="E2" t="s">
        <v>562</v>
      </c>
      <c r="F2" t="s">
        <v>574</v>
      </c>
      <c r="G2">
        <v>134658.95000000001</v>
      </c>
      <c r="H2">
        <v>34</v>
      </c>
      <c r="I2">
        <v>9042.23</v>
      </c>
      <c r="J2" t="str">
        <f>TEXT(DATE(2024,Table1[[#This Row],[Month2]],1),"mmmm")</f>
        <v>October</v>
      </c>
      <c r="K2">
        <v>10</v>
      </c>
      <c r="L2">
        <v>2025</v>
      </c>
    </row>
    <row r="3" spans="1:12" x14ac:dyDescent="0.25">
      <c r="A3" t="s">
        <v>11</v>
      </c>
      <c r="B3" t="s">
        <v>250</v>
      </c>
      <c r="C3" t="s">
        <v>550</v>
      </c>
      <c r="D3" t="s">
        <v>559</v>
      </c>
      <c r="E3" t="s">
        <v>563</v>
      </c>
      <c r="F3" t="s">
        <v>575</v>
      </c>
      <c r="G3">
        <v>386445.25</v>
      </c>
      <c r="H3">
        <v>19</v>
      </c>
      <c r="I3">
        <v>31503.599999999999</v>
      </c>
      <c r="J3" t="str">
        <f>TEXT(DATE(2024,Table1[[#This Row],[Month2]],1),"mmmm")</f>
        <v>November</v>
      </c>
      <c r="K3">
        <v>11</v>
      </c>
      <c r="L3">
        <v>2025</v>
      </c>
    </row>
    <row r="4" spans="1:12" x14ac:dyDescent="0.25">
      <c r="A4" t="s">
        <v>12</v>
      </c>
      <c r="B4" t="s">
        <v>251</v>
      </c>
      <c r="C4" t="s">
        <v>551</v>
      </c>
      <c r="D4" t="s">
        <v>560</v>
      </c>
      <c r="E4" t="s">
        <v>564</v>
      </c>
      <c r="F4" t="s">
        <v>576</v>
      </c>
      <c r="G4">
        <v>94083.23</v>
      </c>
      <c r="H4">
        <v>10</v>
      </c>
      <c r="I4">
        <v>12229.6</v>
      </c>
      <c r="J4" t="str">
        <f>TEXT(DATE(2024,Table1[[#This Row],[Month2]],1),"mmmm")</f>
        <v>May</v>
      </c>
      <c r="K4">
        <v>5</v>
      </c>
      <c r="L4">
        <v>2024</v>
      </c>
    </row>
    <row r="5" spans="1:12" x14ac:dyDescent="0.25">
      <c r="A5" t="s">
        <v>13</v>
      </c>
      <c r="B5" t="s">
        <v>252</v>
      </c>
      <c r="C5" t="s">
        <v>552</v>
      </c>
      <c r="D5" t="s">
        <v>559</v>
      </c>
      <c r="E5" t="s">
        <v>565</v>
      </c>
      <c r="F5" t="s">
        <v>577</v>
      </c>
      <c r="G5">
        <v>407283.73</v>
      </c>
      <c r="H5">
        <v>6</v>
      </c>
      <c r="I5">
        <v>83601.820000000007</v>
      </c>
      <c r="J5" t="str">
        <f>TEXT(DATE(2024,Table1[[#This Row],[Month2]],1),"mmmm")</f>
        <v>November</v>
      </c>
      <c r="K5">
        <v>11</v>
      </c>
      <c r="L5">
        <v>2024</v>
      </c>
    </row>
    <row r="6" spans="1:12" x14ac:dyDescent="0.25">
      <c r="A6" t="s">
        <v>14</v>
      </c>
      <c r="B6" t="s">
        <v>253</v>
      </c>
      <c r="C6" t="s">
        <v>553</v>
      </c>
      <c r="D6" t="s">
        <v>560</v>
      </c>
      <c r="E6" t="s">
        <v>564</v>
      </c>
      <c r="F6" t="s">
        <v>578</v>
      </c>
      <c r="G6">
        <v>442576.35</v>
      </c>
      <c r="H6">
        <v>3</v>
      </c>
      <c r="I6">
        <v>107897.1</v>
      </c>
      <c r="J6" t="str">
        <f>TEXT(DATE(2024,Table1[[#This Row],[Month2]],1),"mmmm")</f>
        <v>August</v>
      </c>
      <c r="K6">
        <v>8</v>
      </c>
      <c r="L6">
        <v>2025</v>
      </c>
    </row>
    <row r="7" spans="1:12" x14ac:dyDescent="0.25">
      <c r="A7" t="s">
        <v>15</v>
      </c>
      <c r="B7" t="s">
        <v>254</v>
      </c>
      <c r="C7" t="s">
        <v>554</v>
      </c>
      <c r="D7" t="s">
        <v>560</v>
      </c>
      <c r="E7" t="s">
        <v>566</v>
      </c>
      <c r="F7" t="s">
        <v>579</v>
      </c>
      <c r="G7">
        <v>58602.69</v>
      </c>
      <c r="H7">
        <v>15</v>
      </c>
      <c r="I7">
        <v>5881.71</v>
      </c>
      <c r="J7" t="str">
        <f>TEXT(DATE(2024,Table1[[#This Row],[Month2]],1),"mmmm")</f>
        <v>July</v>
      </c>
      <c r="K7">
        <v>7</v>
      </c>
      <c r="L7">
        <v>2024</v>
      </c>
    </row>
    <row r="8" spans="1:12" x14ac:dyDescent="0.25">
      <c r="A8" t="s">
        <v>16</v>
      </c>
      <c r="B8" t="s">
        <v>255</v>
      </c>
      <c r="C8" t="s">
        <v>550</v>
      </c>
      <c r="D8" t="s">
        <v>560</v>
      </c>
      <c r="E8" t="s">
        <v>566</v>
      </c>
      <c r="F8" t="s">
        <v>580</v>
      </c>
      <c r="G8">
        <v>276343.03000000003</v>
      </c>
      <c r="H8">
        <v>10</v>
      </c>
      <c r="I8">
        <v>43395.89</v>
      </c>
      <c r="J8" t="str">
        <f>TEXT(DATE(2024,Table1[[#This Row],[Month2]],1),"mmmm")</f>
        <v>April</v>
      </c>
      <c r="K8">
        <v>4</v>
      </c>
      <c r="L8">
        <v>2024</v>
      </c>
    </row>
    <row r="9" spans="1:12" x14ac:dyDescent="0.25">
      <c r="A9" t="s">
        <v>17</v>
      </c>
      <c r="B9" t="s">
        <v>256</v>
      </c>
      <c r="C9" t="s">
        <v>555</v>
      </c>
      <c r="D9" t="s">
        <v>559</v>
      </c>
      <c r="E9" t="s">
        <v>563</v>
      </c>
      <c r="F9" t="s">
        <v>581</v>
      </c>
      <c r="G9">
        <v>85478.41</v>
      </c>
      <c r="H9">
        <v>48</v>
      </c>
      <c r="I9">
        <v>18117.16</v>
      </c>
      <c r="J9" t="str">
        <f>TEXT(DATE(2024,Table1[[#This Row],[Month2]],1),"mmmm")</f>
        <v>January</v>
      </c>
      <c r="K9">
        <v>1</v>
      </c>
      <c r="L9">
        <v>2025</v>
      </c>
    </row>
    <row r="10" spans="1:12" x14ac:dyDescent="0.25">
      <c r="A10" t="s">
        <v>18</v>
      </c>
      <c r="B10" t="s">
        <v>257</v>
      </c>
      <c r="C10" t="s">
        <v>556</v>
      </c>
      <c r="D10" t="s">
        <v>559</v>
      </c>
      <c r="E10" t="s">
        <v>567</v>
      </c>
      <c r="F10" t="s">
        <v>582</v>
      </c>
      <c r="G10">
        <v>8922.5400000000009</v>
      </c>
      <c r="H10">
        <v>4</v>
      </c>
      <c r="I10">
        <v>619.30999999999995</v>
      </c>
      <c r="J10" t="str">
        <f>TEXT(DATE(2024,Table1[[#This Row],[Month2]],1),"mmmm")</f>
        <v>September</v>
      </c>
      <c r="K10">
        <v>9</v>
      </c>
      <c r="L10">
        <v>2025</v>
      </c>
    </row>
    <row r="11" spans="1:12" x14ac:dyDescent="0.25">
      <c r="A11" t="s">
        <v>19</v>
      </c>
      <c r="B11" t="s">
        <v>258</v>
      </c>
      <c r="C11" t="s">
        <v>550</v>
      </c>
      <c r="D11" t="s">
        <v>560</v>
      </c>
      <c r="E11" t="s">
        <v>564</v>
      </c>
      <c r="F11" t="s">
        <v>583</v>
      </c>
      <c r="G11">
        <v>366253.68</v>
      </c>
      <c r="H11">
        <v>28</v>
      </c>
      <c r="I11">
        <v>76678.850000000006</v>
      </c>
      <c r="J11" t="str">
        <f>TEXT(DATE(2024,Table1[[#This Row],[Month2]],1),"mmmm")</f>
        <v>January</v>
      </c>
      <c r="K11">
        <v>1</v>
      </c>
      <c r="L11">
        <v>2024</v>
      </c>
    </row>
    <row r="12" spans="1:12" x14ac:dyDescent="0.25">
      <c r="A12" t="s">
        <v>20</v>
      </c>
      <c r="B12" t="s">
        <v>259</v>
      </c>
      <c r="C12" t="s">
        <v>555</v>
      </c>
      <c r="D12" t="s">
        <v>561</v>
      </c>
      <c r="E12" t="s">
        <v>568</v>
      </c>
      <c r="F12" t="s">
        <v>584</v>
      </c>
      <c r="G12">
        <v>247870.67</v>
      </c>
      <c r="H12">
        <v>9</v>
      </c>
      <c r="I12">
        <v>37293.199999999997</v>
      </c>
      <c r="J12" t="str">
        <f>TEXT(DATE(2024,Table1[[#This Row],[Month2]],1),"mmmm")</f>
        <v>October</v>
      </c>
      <c r="K12">
        <v>10</v>
      </c>
      <c r="L12">
        <v>2024</v>
      </c>
    </row>
    <row r="13" spans="1:12" x14ac:dyDescent="0.25">
      <c r="A13" t="s">
        <v>21</v>
      </c>
      <c r="B13" t="s">
        <v>260</v>
      </c>
      <c r="C13" t="s">
        <v>555</v>
      </c>
      <c r="D13" t="s">
        <v>561</v>
      </c>
      <c r="E13" t="s">
        <v>568</v>
      </c>
      <c r="F13" t="s">
        <v>585</v>
      </c>
      <c r="G13">
        <v>380623.45</v>
      </c>
      <c r="H13">
        <v>49</v>
      </c>
      <c r="I13">
        <v>26726</v>
      </c>
      <c r="J13" t="str">
        <f>TEXT(DATE(2024,Table1[[#This Row],[Month2]],1),"mmmm")</f>
        <v>November</v>
      </c>
      <c r="K13">
        <v>11</v>
      </c>
      <c r="L13">
        <v>2025</v>
      </c>
    </row>
    <row r="14" spans="1:12" x14ac:dyDescent="0.25">
      <c r="A14" t="s">
        <v>22</v>
      </c>
      <c r="B14" t="s">
        <v>261</v>
      </c>
      <c r="C14" t="s">
        <v>552</v>
      </c>
      <c r="D14" t="s">
        <v>559</v>
      </c>
      <c r="E14" t="s">
        <v>562</v>
      </c>
      <c r="F14" t="s">
        <v>586</v>
      </c>
      <c r="G14">
        <v>15063.51</v>
      </c>
      <c r="H14">
        <v>30</v>
      </c>
      <c r="I14">
        <v>1358.5</v>
      </c>
      <c r="J14" t="str">
        <f>TEXT(DATE(2024,Table1[[#This Row],[Month2]],1),"mmmm")</f>
        <v>February</v>
      </c>
      <c r="K14">
        <v>2</v>
      </c>
      <c r="L14">
        <v>2024</v>
      </c>
    </row>
    <row r="15" spans="1:12" x14ac:dyDescent="0.25">
      <c r="A15" t="s">
        <v>23</v>
      </c>
      <c r="B15" t="s">
        <v>262</v>
      </c>
      <c r="C15" t="s">
        <v>551</v>
      </c>
      <c r="D15" t="s">
        <v>561</v>
      </c>
      <c r="E15" t="s">
        <v>568</v>
      </c>
      <c r="F15" t="s">
        <v>587</v>
      </c>
      <c r="G15">
        <v>476308.31</v>
      </c>
      <c r="H15">
        <v>35</v>
      </c>
      <c r="I15">
        <v>56839.97</v>
      </c>
      <c r="J15" t="str">
        <f>TEXT(DATE(2024,Table1[[#This Row],[Month2]],1),"mmmm")</f>
        <v>July</v>
      </c>
      <c r="K15">
        <v>7</v>
      </c>
      <c r="L15">
        <v>2025</v>
      </c>
    </row>
    <row r="16" spans="1:12" x14ac:dyDescent="0.25">
      <c r="A16" t="s">
        <v>24</v>
      </c>
      <c r="B16" t="s">
        <v>263</v>
      </c>
      <c r="C16" t="s">
        <v>550</v>
      </c>
      <c r="D16" t="s">
        <v>559</v>
      </c>
      <c r="E16" t="s">
        <v>567</v>
      </c>
      <c r="F16" t="s">
        <v>588</v>
      </c>
      <c r="G16">
        <v>360823.33</v>
      </c>
      <c r="H16">
        <v>27</v>
      </c>
      <c r="I16">
        <v>86489.93</v>
      </c>
      <c r="J16" t="str">
        <f>TEXT(DATE(2024,Table1[[#This Row],[Month2]],1),"mmmm")</f>
        <v>November</v>
      </c>
      <c r="K16">
        <v>11</v>
      </c>
      <c r="L16">
        <v>2024</v>
      </c>
    </row>
    <row r="17" spans="1:12" x14ac:dyDescent="0.25">
      <c r="A17" t="s">
        <v>25</v>
      </c>
      <c r="B17" t="s">
        <v>264</v>
      </c>
      <c r="C17" t="s">
        <v>554</v>
      </c>
      <c r="D17" t="s">
        <v>560</v>
      </c>
      <c r="E17" t="s">
        <v>569</v>
      </c>
      <c r="F17" t="s">
        <v>589</v>
      </c>
      <c r="G17">
        <v>304957.34999999998</v>
      </c>
      <c r="H17">
        <v>22</v>
      </c>
      <c r="I17">
        <v>66887.39</v>
      </c>
      <c r="J17" t="str">
        <f>TEXT(DATE(2024,Table1[[#This Row],[Month2]],1),"mmmm")</f>
        <v>October</v>
      </c>
      <c r="K17">
        <v>10</v>
      </c>
      <c r="L17">
        <v>2024</v>
      </c>
    </row>
    <row r="18" spans="1:12" x14ac:dyDescent="0.25">
      <c r="A18" t="s">
        <v>26</v>
      </c>
      <c r="B18" t="s">
        <v>265</v>
      </c>
      <c r="C18" t="s">
        <v>550</v>
      </c>
      <c r="D18" t="s">
        <v>559</v>
      </c>
      <c r="E18" t="s">
        <v>567</v>
      </c>
      <c r="F18" t="s">
        <v>590</v>
      </c>
      <c r="G18">
        <v>420626.49</v>
      </c>
      <c r="H18">
        <v>48</v>
      </c>
      <c r="I18">
        <v>99269.7</v>
      </c>
      <c r="J18" t="str">
        <f>TEXT(DATE(2024,Table1[[#This Row],[Month2]],1),"mmmm")</f>
        <v>November</v>
      </c>
      <c r="K18">
        <v>11</v>
      </c>
      <c r="L18">
        <v>2024</v>
      </c>
    </row>
    <row r="19" spans="1:12" x14ac:dyDescent="0.25">
      <c r="A19" t="s">
        <v>27</v>
      </c>
      <c r="B19" t="s">
        <v>266</v>
      </c>
      <c r="C19" t="s">
        <v>550</v>
      </c>
      <c r="D19" t="s">
        <v>561</v>
      </c>
      <c r="E19" t="s">
        <v>570</v>
      </c>
      <c r="F19" t="s">
        <v>591</v>
      </c>
      <c r="G19">
        <v>236898.52</v>
      </c>
      <c r="H19">
        <v>20</v>
      </c>
      <c r="I19">
        <v>47074.65</v>
      </c>
      <c r="J19" t="str">
        <f>TEXT(DATE(2024,Table1[[#This Row],[Month2]],1),"mmmm")</f>
        <v>September</v>
      </c>
      <c r="K19">
        <v>9</v>
      </c>
      <c r="L19">
        <v>2025</v>
      </c>
    </row>
    <row r="20" spans="1:12" x14ac:dyDescent="0.25">
      <c r="A20" t="s">
        <v>28</v>
      </c>
      <c r="B20" t="s">
        <v>267</v>
      </c>
      <c r="C20" t="s">
        <v>556</v>
      </c>
      <c r="D20" t="s">
        <v>559</v>
      </c>
      <c r="E20" t="s">
        <v>563</v>
      </c>
      <c r="F20" t="s">
        <v>592</v>
      </c>
      <c r="G20">
        <v>499411.38</v>
      </c>
      <c r="H20">
        <v>6</v>
      </c>
      <c r="I20">
        <v>61901.62</v>
      </c>
      <c r="J20" t="str">
        <f>TEXT(DATE(2024,Table1[[#This Row],[Month2]],1),"mmmm")</f>
        <v>December</v>
      </c>
      <c r="K20">
        <v>12</v>
      </c>
      <c r="L20">
        <v>2024</v>
      </c>
    </row>
    <row r="21" spans="1:12" x14ac:dyDescent="0.25">
      <c r="A21" t="s">
        <v>29</v>
      </c>
      <c r="B21" t="s">
        <v>268</v>
      </c>
      <c r="C21" t="s">
        <v>557</v>
      </c>
      <c r="D21" t="s">
        <v>559</v>
      </c>
      <c r="E21" t="s">
        <v>563</v>
      </c>
      <c r="F21" t="s">
        <v>593</v>
      </c>
      <c r="G21">
        <v>482540.14</v>
      </c>
      <c r="H21">
        <v>40</v>
      </c>
      <c r="I21">
        <v>47743.360000000001</v>
      </c>
      <c r="J21" t="str">
        <f>TEXT(DATE(2024,Table1[[#This Row],[Month2]],1),"mmmm")</f>
        <v>December</v>
      </c>
      <c r="K21">
        <v>12</v>
      </c>
      <c r="L21">
        <v>2024</v>
      </c>
    </row>
    <row r="22" spans="1:12" x14ac:dyDescent="0.25">
      <c r="A22" t="s">
        <v>30</v>
      </c>
      <c r="B22" t="s">
        <v>269</v>
      </c>
      <c r="C22" t="s">
        <v>550</v>
      </c>
      <c r="D22" t="s">
        <v>559</v>
      </c>
      <c r="E22" t="s">
        <v>563</v>
      </c>
      <c r="F22" t="s">
        <v>594</v>
      </c>
      <c r="G22">
        <v>115298.71</v>
      </c>
      <c r="H22">
        <v>27</v>
      </c>
      <c r="I22">
        <v>12601.04</v>
      </c>
      <c r="J22" t="str">
        <f>TEXT(DATE(2024,Table1[[#This Row],[Month2]],1),"mmmm")</f>
        <v>July</v>
      </c>
      <c r="K22">
        <v>7</v>
      </c>
      <c r="L22">
        <v>2025</v>
      </c>
    </row>
    <row r="23" spans="1:12" x14ac:dyDescent="0.25">
      <c r="A23" t="s">
        <v>31</v>
      </c>
      <c r="B23" t="s">
        <v>270</v>
      </c>
      <c r="C23" t="s">
        <v>551</v>
      </c>
      <c r="D23" t="s">
        <v>559</v>
      </c>
      <c r="E23" t="s">
        <v>563</v>
      </c>
      <c r="F23" t="s">
        <v>595</v>
      </c>
      <c r="G23">
        <v>113539.06</v>
      </c>
      <c r="H23">
        <v>8</v>
      </c>
      <c r="I23">
        <v>7816.46</v>
      </c>
      <c r="J23" t="str">
        <f>TEXT(DATE(2024,Table1[[#This Row],[Month2]],1),"mmmm")</f>
        <v>July</v>
      </c>
      <c r="K23">
        <v>7</v>
      </c>
      <c r="L23">
        <v>2024</v>
      </c>
    </row>
    <row r="24" spans="1:12" x14ac:dyDescent="0.25">
      <c r="A24" t="s">
        <v>32</v>
      </c>
      <c r="B24" t="s">
        <v>271</v>
      </c>
      <c r="C24" t="s">
        <v>558</v>
      </c>
      <c r="D24" t="s">
        <v>559</v>
      </c>
      <c r="E24" t="s">
        <v>563</v>
      </c>
      <c r="F24" t="s">
        <v>596</v>
      </c>
      <c r="G24">
        <v>299164.5</v>
      </c>
      <c r="H24">
        <v>49</v>
      </c>
      <c r="I24">
        <v>27515.67</v>
      </c>
      <c r="J24" t="str">
        <f>TEXT(DATE(2024,Table1[[#This Row],[Month2]],1),"mmmm")</f>
        <v>February</v>
      </c>
      <c r="K24">
        <v>2</v>
      </c>
      <c r="L24">
        <v>2025</v>
      </c>
    </row>
    <row r="25" spans="1:12" x14ac:dyDescent="0.25">
      <c r="A25" t="s">
        <v>33</v>
      </c>
      <c r="B25" t="s">
        <v>272</v>
      </c>
      <c r="C25" t="s">
        <v>552</v>
      </c>
      <c r="D25" t="s">
        <v>561</v>
      </c>
      <c r="E25" t="s">
        <v>568</v>
      </c>
      <c r="F25" t="s">
        <v>597</v>
      </c>
      <c r="G25">
        <v>92057.56</v>
      </c>
      <c r="H25">
        <v>10</v>
      </c>
      <c r="I25">
        <v>11477.81</v>
      </c>
      <c r="J25" t="str">
        <f>TEXT(DATE(2024,Table1[[#This Row],[Month2]],1),"mmmm")</f>
        <v>June</v>
      </c>
      <c r="K25">
        <v>6</v>
      </c>
      <c r="L25">
        <v>2025</v>
      </c>
    </row>
    <row r="26" spans="1:12" x14ac:dyDescent="0.25">
      <c r="A26" t="s">
        <v>34</v>
      </c>
      <c r="B26" t="s">
        <v>273</v>
      </c>
      <c r="C26" t="s">
        <v>555</v>
      </c>
      <c r="D26" t="s">
        <v>561</v>
      </c>
      <c r="E26" t="s">
        <v>571</v>
      </c>
      <c r="F26" t="s">
        <v>598</v>
      </c>
      <c r="G26">
        <v>158051.63</v>
      </c>
      <c r="H26">
        <v>31</v>
      </c>
      <c r="I26">
        <v>25535.25</v>
      </c>
      <c r="J26" t="str">
        <f>TEXT(DATE(2024,Table1[[#This Row],[Month2]],1),"mmmm")</f>
        <v>August</v>
      </c>
      <c r="K26">
        <v>8</v>
      </c>
      <c r="L26">
        <v>2024</v>
      </c>
    </row>
    <row r="27" spans="1:12" x14ac:dyDescent="0.25">
      <c r="A27" t="s">
        <v>35</v>
      </c>
      <c r="B27" t="s">
        <v>274</v>
      </c>
      <c r="C27" t="s">
        <v>552</v>
      </c>
      <c r="D27" t="s">
        <v>561</v>
      </c>
      <c r="E27" t="s">
        <v>570</v>
      </c>
      <c r="F27" t="s">
        <v>599</v>
      </c>
      <c r="G27">
        <v>278135.06</v>
      </c>
      <c r="H27">
        <v>7</v>
      </c>
      <c r="I27">
        <v>48623.57</v>
      </c>
      <c r="J27" t="str">
        <f>TEXT(DATE(2024,Table1[[#This Row],[Month2]],1),"mmmm")</f>
        <v>March</v>
      </c>
      <c r="K27">
        <v>3</v>
      </c>
      <c r="L27">
        <v>2025</v>
      </c>
    </row>
    <row r="28" spans="1:12" x14ac:dyDescent="0.25">
      <c r="A28" t="s">
        <v>36</v>
      </c>
      <c r="B28" t="s">
        <v>275</v>
      </c>
      <c r="C28" t="s">
        <v>557</v>
      </c>
      <c r="D28" t="s">
        <v>559</v>
      </c>
      <c r="E28" t="s">
        <v>567</v>
      </c>
      <c r="F28" t="s">
        <v>600</v>
      </c>
      <c r="G28">
        <v>210951.21</v>
      </c>
      <c r="H28">
        <v>29</v>
      </c>
      <c r="I28">
        <v>22077.07</v>
      </c>
      <c r="J28" t="str">
        <f>TEXT(DATE(2024,Table1[[#This Row],[Month2]],1),"mmmm")</f>
        <v>February</v>
      </c>
      <c r="K28">
        <v>2</v>
      </c>
      <c r="L28">
        <v>2024</v>
      </c>
    </row>
    <row r="29" spans="1:12" x14ac:dyDescent="0.25">
      <c r="A29" t="s">
        <v>37</v>
      </c>
      <c r="B29" t="s">
        <v>276</v>
      </c>
      <c r="C29" t="s">
        <v>557</v>
      </c>
      <c r="D29" t="s">
        <v>561</v>
      </c>
      <c r="E29" t="s">
        <v>570</v>
      </c>
      <c r="F29" t="s">
        <v>601</v>
      </c>
      <c r="G29">
        <v>434051.67</v>
      </c>
      <c r="H29">
        <v>17</v>
      </c>
      <c r="I29">
        <v>32400.06</v>
      </c>
      <c r="J29" t="str">
        <f>TEXT(DATE(2024,Table1[[#This Row],[Month2]],1),"mmmm")</f>
        <v>May</v>
      </c>
      <c r="K29">
        <v>5</v>
      </c>
      <c r="L29">
        <v>2024</v>
      </c>
    </row>
    <row r="30" spans="1:12" x14ac:dyDescent="0.25">
      <c r="A30" t="s">
        <v>38</v>
      </c>
      <c r="B30" t="s">
        <v>277</v>
      </c>
      <c r="C30" t="s">
        <v>555</v>
      </c>
      <c r="D30" t="s">
        <v>561</v>
      </c>
      <c r="E30" t="s">
        <v>568</v>
      </c>
      <c r="F30" t="s">
        <v>602</v>
      </c>
      <c r="G30">
        <v>201093.91</v>
      </c>
      <c r="H30">
        <v>46</v>
      </c>
      <c r="I30">
        <v>49438.559999999998</v>
      </c>
      <c r="J30" t="str">
        <f>TEXT(DATE(2024,Table1[[#This Row],[Month2]],1),"mmmm")</f>
        <v>July</v>
      </c>
      <c r="K30">
        <v>7</v>
      </c>
      <c r="L30">
        <v>2025</v>
      </c>
    </row>
    <row r="31" spans="1:12" x14ac:dyDescent="0.25">
      <c r="A31" t="s">
        <v>39</v>
      </c>
      <c r="B31" t="s">
        <v>278</v>
      </c>
      <c r="C31" t="s">
        <v>556</v>
      </c>
      <c r="D31" t="s">
        <v>559</v>
      </c>
      <c r="E31" t="s">
        <v>567</v>
      </c>
      <c r="F31" t="s">
        <v>603</v>
      </c>
      <c r="G31">
        <v>475888.01</v>
      </c>
      <c r="H31">
        <v>49</v>
      </c>
      <c r="I31">
        <v>29708.03</v>
      </c>
      <c r="J31" t="str">
        <f>TEXT(DATE(2024,Table1[[#This Row],[Month2]],1),"mmmm")</f>
        <v>September</v>
      </c>
      <c r="K31">
        <v>9</v>
      </c>
      <c r="L31">
        <v>2025</v>
      </c>
    </row>
    <row r="32" spans="1:12" x14ac:dyDescent="0.25">
      <c r="A32" t="s">
        <v>40</v>
      </c>
      <c r="B32" t="s">
        <v>279</v>
      </c>
      <c r="C32" t="s">
        <v>549</v>
      </c>
      <c r="D32" t="s">
        <v>561</v>
      </c>
      <c r="E32" t="s">
        <v>572</v>
      </c>
      <c r="F32" t="s">
        <v>604</v>
      </c>
      <c r="G32">
        <v>124977.14</v>
      </c>
      <c r="H32">
        <v>8</v>
      </c>
      <c r="I32">
        <v>19031.07</v>
      </c>
      <c r="J32" t="str">
        <f>TEXT(DATE(2024,Table1[[#This Row],[Month2]],1),"mmmm")</f>
        <v>December</v>
      </c>
      <c r="K32">
        <v>12</v>
      </c>
      <c r="L32">
        <v>2024</v>
      </c>
    </row>
    <row r="33" spans="1:12" x14ac:dyDescent="0.25">
      <c r="A33" t="s">
        <v>41</v>
      </c>
      <c r="B33" t="s">
        <v>280</v>
      </c>
      <c r="C33" t="s">
        <v>555</v>
      </c>
      <c r="D33" t="s">
        <v>559</v>
      </c>
      <c r="E33" t="s">
        <v>563</v>
      </c>
      <c r="F33" t="s">
        <v>605</v>
      </c>
      <c r="G33">
        <v>192533</v>
      </c>
      <c r="H33">
        <v>28</v>
      </c>
      <c r="I33">
        <v>13640.77</v>
      </c>
      <c r="J33" t="str">
        <f>TEXT(DATE(2024,Table1[[#This Row],[Month2]],1),"mmmm")</f>
        <v>October</v>
      </c>
      <c r="K33">
        <v>10</v>
      </c>
      <c r="L33">
        <v>2024</v>
      </c>
    </row>
    <row r="34" spans="1:12" x14ac:dyDescent="0.25">
      <c r="A34" t="s">
        <v>18</v>
      </c>
      <c r="B34" t="s">
        <v>281</v>
      </c>
      <c r="C34" t="s">
        <v>556</v>
      </c>
      <c r="D34" t="s">
        <v>560</v>
      </c>
      <c r="E34" t="s">
        <v>569</v>
      </c>
      <c r="F34" t="s">
        <v>606</v>
      </c>
      <c r="G34">
        <v>377685.79</v>
      </c>
      <c r="H34">
        <v>39</v>
      </c>
      <c r="I34">
        <v>62449.8</v>
      </c>
      <c r="J34" t="str">
        <f>TEXT(DATE(2024,Table1[[#This Row],[Month2]],1),"mmmm")</f>
        <v>September</v>
      </c>
      <c r="K34">
        <v>9</v>
      </c>
      <c r="L34">
        <v>2025</v>
      </c>
    </row>
    <row r="35" spans="1:12" x14ac:dyDescent="0.25">
      <c r="A35" t="s">
        <v>42</v>
      </c>
      <c r="B35" t="s">
        <v>282</v>
      </c>
      <c r="C35" t="s">
        <v>550</v>
      </c>
      <c r="D35" t="s">
        <v>559</v>
      </c>
      <c r="E35" t="s">
        <v>565</v>
      </c>
      <c r="F35" t="s">
        <v>607</v>
      </c>
      <c r="G35">
        <v>99388.97</v>
      </c>
      <c r="H35">
        <v>16</v>
      </c>
      <c r="I35">
        <v>17174.740000000002</v>
      </c>
      <c r="J35" t="str">
        <f>TEXT(DATE(2024,Table1[[#This Row],[Month2]],1),"mmmm")</f>
        <v>April</v>
      </c>
      <c r="K35">
        <v>4</v>
      </c>
      <c r="L35">
        <v>2025</v>
      </c>
    </row>
    <row r="36" spans="1:12" x14ac:dyDescent="0.25">
      <c r="A36" t="s">
        <v>43</v>
      </c>
      <c r="B36" t="s">
        <v>283</v>
      </c>
      <c r="C36" t="s">
        <v>551</v>
      </c>
      <c r="D36" t="s">
        <v>560</v>
      </c>
      <c r="E36" t="s">
        <v>564</v>
      </c>
      <c r="F36" t="s">
        <v>608</v>
      </c>
      <c r="G36">
        <v>483902.13</v>
      </c>
      <c r="H36">
        <v>4</v>
      </c>
      <c r="I36">
        <v>93584.41</v>
      </c>
      <c r="J36" t="str">
        <f>TEXT(DATE(2024,Table1[[#This Row],[Month2]],1),"mmmm")</f>
        <v>June</v>
      </c>
      <c r="K36">
        <v>6</v>
      </c>
      <c r="L36">
        <v>2024</v>
      </c>
    </row>
    <row r="37" spans="1:12" x14ac:dyDescent="0.25">
      <c r="A37" t="s">
        <v>44</v>
      </c>
      <c r="B37" t="s">
        <v>284</v>
      </c>
      <c r="C37" t="s">
        <v>556</v>
      </c>
      <c r="D37" t="s">
        <v>560</v>
      </c>
      <c r="E37" t="s">
        <v>566</v>
      </c>
      <c r="F37" t="s">
        <v>609</v>
      </c>
      <c r="G37">
        <v>178790.9</v>
      </c>
      <c r="H37">
        <v>16</v>
      </c>
      <c r="I37">
        <v>25218.46</v>
      </c>
      <c r="J37" t="str">
        <f>TEXT(DATE(2024,Table1[[#This Row],[Month2]],1),"mmmm")</f>
        <v>July</v>
      </c>
      <c r="K37">
        <v>7</v>
      </c>
      <c r="L37">
        <v>2025</v>
      </c>
    </row>
    <row r="38" spans="1:12" x14ac:dyDescent="0.25">
      <c r="A38" t="s">
        <v>45</v>
      </c>
      <c r="B38" t="s">
        <v>285</v>
      </c>
      <c r="C38" t="s">
        <v>555</v>
      </c>
      <c r="D38" t="s">
        <v>559</v>
      </c>
      <c r="E38" t="s">
        <v>565</v>
      </c>
      <c r="F38" t="s">
        <v>610</v>
      </c>
      <c r="G38">
        <v>480150.68</v>
      </c>
      <c r="H38">
        <v>36</v>
      </c>
      <c r="I38">
        <v>100569.41</v>
      </c>
      <c r="J38" t="str">
        <f>TEXT(DATE(2024,Table1[[#This Row],[Month2]],1),"mmmm")</f>
        <v>October</v>
      </c>
      <c r="K38">
        <v>10</v>
      </c>
      <c r="L38">
        <v>2025</v>
      </c>
    </row>
    <row r="39" spans="1:12" x14ac:dyDescent="0.25">
      <c r="A39" t="s">
        <v>46</v>
      </c>
      <c r="B39" t="s">
        <v>286</v>
      </c>
      <c r="C39" t="s">
        <v>556</v>
      </c>
      <c r="D39" t="s">
        <v>561</v>
      </c>
      <c r="E39" t="s">
        <v>570</v>
      </c>
      <c r="F39" t="s">
        <v>611</v>
      </c>
      <c r="G39">
        <v>32214</v>
      </c>
      <c r="H39">
        <v>42</v>
      </c>
      <c r="I39">
        <v>3416.05</v>
      </c>
      <c r="J39" t="str">
        <f>TEXT(DATE(2024,Table1[[#This Row],[Month2]],1),"mmmm")</f>
        <v>April</v>
      </c>
      <c r="K39">
        <v>4</v>
      </c>
      <c r="L39">
        <v>2025</v>
      </c>
    </row>
    <row r="40" spans="1:12" x14ac:dyDescent="0.25">
      <c r="A40" t="s">
        <v>47</v>
      </c>
      <c r="B40" t="s">
        <v>287</v>
      </c>
      <c r="C40" t="s">
        <v>551</v>
      </c>
      <c r="D40" t="s">
        <v>561</v>
      </c>
      <c r="E40" t="s">
        <v>568</v>
      </c>
      <c r="F40" t="s">
        <v>612</v>
      </c>
      <c r="G40">
        <v>65595.94</v>
      </c>
      <c r="H40">
        <v>32</v>
      </c>
      <c r="I40">
        <v>13399.45</v>
      </c>
      <c r="J40" t="str">
        <f>TEXT(DATE(2024,Table1[[#This Row],[Month2]],1),"mmmm")</f>
        <v>February</v>
      </c>
      <c r="K40">
        <v>2</v>
      </c>
      <c r="L40">
        <v>2025</v>
      </c>
    </row>
    <row r="41" spans="1:12" x14ac:dyDescent="0.25">
      <c r="A41" t="s">
        <v>48</v>
      </c>
      <c r="B41" t="s">
        <v>288</v>
      </c>
      <c r="C41" t="s">
        <v>551</v>
      </c>
      <c r="D41" t="s">
        <v>561</v>
      </c>
      <c r="E41" t="s">
        <v>572</v>
      </c>
      <c r="F41" t="s">
        <v>613</v>
      </c>
      <c r="G41">
        <v>274538.23</v>
      </c>
      <c r="H41">
        <v>39</v>
      </c>
      <c r="I41">
        <v>64791.199999999997</v>
      </c>
      <c r="J41" t="str">
        <f>TEXT(DATE(2024,Table1[[#This Row],[Month2]],1),"mmmm")</f>
        <v>December</v>
      </c>
      <c r="K41">
        <v>12</v>
      </c>
      <c r="L41">
        <v>2024</v>
      </c>
    </row>
    <row r="42" spans="1:12" x14ac:dyDescent="0.25">
      <c r="A42" t="s">
        <v>49</v>
      </c>
      <c r="B42" t="s">
        <v>289</v>
      </c>
      <c r="C42" t="s">
        <v>556</v>
      </c>
      <c r="D42" t="s">
        <v>560</v>
      </c>
      <c r="E42" t="s">
        <v>569</v>
      </c>
      <c r="F42" t="s">
        <v>614</v>
      </c>
      <c r="G42">
        <v>43077.95</v>
      </c>
      <c r="H42">
        <v>3</v>
      </c>
      <c r="I42">
        <v>4910.8</v>
      </c>
      <c r="J42" t="str">
        <f>TEXT(DATE(2024,Table1[[#This Row],[Month2]],1),"mmmm")</f>
        <v>November</v>
      </c>
      <c r="K42">
        <v>11</v>
      </c>
      <c r="L42">
        <v>2025</v>
      </c>
    </row>
    <row r="43" spans="1:12" x14ac:dyDescent="0.25">
      <c r="A43" t="s">
        <v>50</v>
      </c>
      <c r="B43" t="s">
        <v>290</v>
      </c>
      <c r="C43" t="s">
        <v>550</v>
      </c>
      <c r="D43" t="s">
        <v>559</v>
      </c>
      <c r="E43" t="s">
        <v>567</v>
      </c>
      <c r="F43" t="s">
        <v>615</v>
      </c>
      <c r="G43">
        <v>327969.48</v>
      </c>
      <c r="H43">
        <v>34</v>
      </c>
      <c r="I43">
        <v>41484.81</v>
      </c>
      <c r="J43" t="str">
        <f>TEXT(DATE(2024,Table1[[#This Row],[Month2]],1),"mmmm")</f>
        <v>September</v>
      </c>
      <c r="K43">
        <v>9</v>
      </c>
      <c r="L43">
        <v>2025</v>
      </c>
    </row>
    <row r="44" spans="1:12" x14ac:dyDescent="0.25">
      <c r="A44" t="s">
        <v>51</v>
      </c>
      <c r="B44" t="s">
        <v>291</v>
      </c>
      <c r="C44" t="s">
        <v>553</v>
      </c>
      <c r="D44" t="s">
        <v>561</v>
      </c>
      <c r="E44" t="s">
        <v>568</v>
      </c>
      <c r="F44" t="s">
        <v>616</v>
      </c>
      <c r="G44">
        <v>298040.71999999997</v>
      </c>
      <c r="H44">
        <v>20</v>
      </c>
      <c r="I44">
        <v>22748.66</v>
      </c>
      <c r="J44" t="str">
        <f>TEXT(DATE(2024,Table1[[#This Row],[Month2]],1),"mmmm")</f>
        <v>January</v>
      </c>
      <c r="K44">
        <v>1</v>
      </c>
      <c r="L44">
        <v>2025</v>
      </c>
    </row>
    <row r="45" spans="1:12" x14ac:dyDescent="0.25">
      <c r="A45" t="s">
        <v>52</v>
      </c>
      <c r="B45" t="s">
        <v>292</v>
      </c>
      <c r="C45" t="s">
        <v>552</v>
      </c>
      <c r="D45" t="s">
        <v>561</v>
      </c>
      <c r="E45" t="s">
        <v>570</v>
      </c>
      <c r="F45" t="s">
        <v>617</v>
      </c>
      <c r="G45">
        <v>106636.39</v>
      </c>
      <c r="H45">
        <v>31</v>
      </c>
      <c r="I45">
        <v>23391.61</v>
      </c>
      <c r="J45" t="str">
        <f>TEXT(DATE(2024,Table1[[#This Row],[Month2]],1),"mmmm")</f>
        <v>July</v>
      </c>
      <c r="K45">
        <v>7</v>
      </c>
      <c r="L45">
        <v>2025</v>
      </c>
    </row>
    <row r="46" spans="1:12" x14ac:dyDescent="0.25">
      <c r="A46" t="s">
        <v>53</v>
      </c>
      <c r="B46" t="s">
        <v>293</v>
      </c>
      <c r="C46" t="s">
        <v>555</v>
      </c>
      <c r="D46" t="s">
        <v>561</v>
      </c>
      <c r="E46" t="s">
        <v>571</v>
      </c>
      <c r="F46" t="s">
        <v>618</v>
      </c>
      <c r="G46">
        <v>307039.42</v>
      </c>
      <c r="H46">
        <v>4</v>
      </c>
      <c r="I46">
        <v>39808.589999999997</v>
      </c>
      <c r="J46" t="str">
        <f>TEXT(DATE(2024,Table1[[#This Row],[Month2]],1),"mmmm")</f>
        <v>May</v>
      </c>
      <c r="K46">
        <v>5</v>
      </c>
      <c r="L46">
        <v>2025</v>
      </c>
    </row>
    <row r="47" spans="1:12" x14ac:dyDescent="0.25">
      <c r="A47" t="s">
        <v>54</v>
      </c>
      <c r="B47" t="s">
        <v>294</v>
      </c>
      <c r="C47" t="s">
        <v>552</v>
      </c>
      <c r="D47" t="s">
        <v>560</v>
      </c>
      <c r="E47" t="s">
        <v>564</v>
      </c>
      <c r="F47" t="s">
        <v>619</v>
      </c>
      <c r="G47">
        <v>88172.25</v>
      </c>
      <c r="H47">
        <v>4</v>
      </c>
      <c r="I47">
        <v>18398.650000000001</v>
      </c>
      <c r="J47" t="str">
        <f>TEXT(DATE(2024,Table1[[#This Row],[Month2]],1),"mmmm")</f>
        <v>November</v>
      </c>
      <c r="K47">
        <v>11</v>
      </c>
      <c r="L47">
        <v>2024</v>
      </c>
    </row>
    <row r="48" spans="1:12" x14ac:dyDescent="0.25">
      <c r="A48" t="s">
        <v>55</v>
      </c>
      <c r="B48" t="s">
        <v>295</v>
      </c>
      <c r="C48" t="s">
        <v>551</v>
      </c>
      <c r="D48" t="s">
        <v>561</v>
      </c>
      <c r="E48" t="s">
        <v>571</v>
      </c>
      <c r="F48" t="s">
        <v>620</v>
      </c>
      <c r="G48">
        <v>303610.96000000002</v>
      </c>
      <c r="H48">
        <v>14</v>
      </c>
      <c r="I48">
        <v>68521.22</v>
      </c>
      <c r="J48" t="str">
        <f>TEXT(DATE(2024,Table1[[#This Row],[Month2]],1),"mmmm")</f>
        <v>July</v>
      </c>
      <c r="K48">
        <v>7</v>
      </c>
      <c r="L48">
        <v>2024</v>
      </c>
    </row>
    <row r="49" spans="1:12" x14ac:dyDescent="0.25">
      <c r="A49" t="s">
        <v>27</v>
      </c>
      <c r="B49" t="s">
        <v>296</v>
      </c>
      <c r="C49" t="s">
        <v>549</v>
      </c>
      <c r="D49" t="s">
        <v>559</v>
      </c>
      <c r="E49" t="s">
        <v>567</v>
      </c>
      <c r="F49" t="s">
        <v>621</v>
      </c>
      <c r="G49">
        <v>283900.38</v>
      </c>
      <c r="H49">
        <v>5</v>
      </c>
      <c r="I49">
        <v>52350.04</v>
      </c>
      <c r="J49" t="str">
        <f>TEXT(DATE(2024,Table1[[#This Row],[Month2]],1),"mmmm")</f>
        <v>September</v>
      </c>
      <c r="K49">
        <v>9</v>
      </c>
      <c r="L49">
        <v>2025</v>
      </c>
    </row>
    <row r="50" spans="1:12" x14ac:dyDescent="0.25">
      <c r="A50" t="s">
        <v>56</v>
      </c>
      <c r="B50" t="s">
        <v>297</v>
      </c>
      <c r="C50" t="s">
        <v>551</v>
      </c>
      <c r="D50" t="s">
        <v>560</v>
      </c>
      <c r="E50" t="s">
        <v>566</v>
      </c>
      <c r="F50" t="s">
        <v>622</v>
      </c>
      <c r="G50">
        <v>309129.84000000003</v>
      </c>
      <c r="H50">
        <v>15</v>
      </c>
      <c r="I50">
        <v>32486.98</v>
      </c>
      <c r="J50" t="str">
        <f>TEXT(DATE(2024,Table1[[#This Row],[Month2]],1),"mmmm")</f>
        <v>September</v>
      </c>
      <c r="K50">
        <v>9</v>
      </c>
      <c r="L50">
        <v>2025</v>
      </c>
    </row>
    <row r="51" spans="1:12" x14ac:dyDescent="0.25">
      <c r="A51" t="s">
        <v>57</v>
      </c>
      <c r="B51" t="s">
        <v>298</v>
      </c>
      <c r="C51" t="s">
        <v>555</v>
      </c>
      <c r="D51" t="s">
        <v>561</v>
      </c>
      <c r="E51" t="s">
        <v>572</v>
      </c>
      <c r="F51" t="s">
        <v>623</v>
      </c>
      <c r="G51">
        <v>437797.07</v>
      </c>
      <c r="H51">
        <v>43</v>
      </c>
      <c r="I51">
        <v>108957.54</v>
      </c>
      <c r="J51" t="str">
        <f>TEXT(DATE(2024,Table1[[#This Row],[Month2]],1),"mmmm")</f>
        <v>October</v>
      </c>
      <c r="K51">
        <v>10</v>
      </c>
      <c r="L51">
        <v>2025</v>
      </c>
    </row>
    <row r="52" spans="1:12" x14ac:dyDescent="0.25">
      <c r="A52" t="s">
        <v>58</v>
      </c>
      <c r="B52" t="s">
        <v>299</v>
      </c>
      <c r="C52" t="s">
        <v>557</v>
      </c>
      <c r="D52" t="s">
        <v>560</v>
      </c>
      <c r="E52" t="s">
        <v>569</v>
      </c>
      <c r="F52" t="s">
        <v>624</v>
      </c>
      <c r="G52">
        <v>199972.59</v>
      </c>
      <c r="H52">
        <v>2</v>
      </c>
      <c r="I52">
        <v>28988.49</v>
      </c>
      <c r="J52" t="str">
        <f>TEXT(DATE(2024,Table1[[#This Row],[Month2]],1),"mmmm")</f>
        <v>July</v>
      </c>
      <c r="K52">
        <v>7</v>
      </c>
      <c r="L52">
        <v>2025</v>
      </c>
    </row>
    <row r="53" spans="1:12" x14ac:dyDescent="0.25">
      <c r="A53" t="s">
        <v>59</v>
      </c>
      <c r="B53" t="s">
        <v>300</v>
      </c>
      <c r="C53" t="s">
        <v>555</v>
      </c>
      <c r="D53" t="s">
        <v>559</v>
      </c>
      <c r="E53" t="s">
        <v>567</v>
      </c>
      <c r="F53" t="s">
        <v>625</v>
      </c>
      <c r="G53">
        <v>386745.7</v>
      </c>
      <c r="H53">
        <v>50</v>
      </c>
      <c r="I53">
        <v>25380.81</v>
      </c>
      <c r="J53" t="str">
        <f>TEXT(DATE(2024,Table1[[#This Row],[Month2]],1),"mmmm")</f>
        <v>July</v>
      </c>
      <c r="K53">
        <v>7</v>
      </c>
      <c r="L53">
        <v>2025</v>
      </c>
    </row>
    <row r="54" spans="1:12" x14ac:dyDescent="0.25">
      <c r="A54" t="s">
        <v>60</v>
      </c>
      <c r="B54" t="s">
        <v>301</v>
      </c>
      <c r="C54" t="s">
        <v>549</v>
      </c>
      <c r="D54" t="s">
        <v>561</v>
      </c>
      <c r="E54" t="s">
        <v>570</v>
      </c>
      <c r="F54" t="s">
        <v>626</v>
      </c>
      <c r="G54">
        <v>443591.54</v>
      </c>
      <c r="H54">
        <v>24</v>
      </c>
      <c r="I54">
        <v>36638.25</v>
      </c>
      <c r="J54" t="str">
        <f>TEXT(DATE(2024,Table1[[#This Row],[Month2]],1),"mmmm")</f>
        <v>August</v>
      </c>
      <c r="K54">
        <v>8</v>
      </c>
      <c r="L54">
        <v>2024</v>
      </c>
    </row>
    <row r="55" spans="1:12" x14ac:dyDescent="0.25">
      <c r="A55" t="s">
        <v>61</v>
      </c>
      <c r="B55" t="s">
        <v>302</v>
      </c>
      <c r="C55" t="s">
        <v>553</v>
      </c>
      <c r="D55" t="s">
        <v>560</v>
      </c>
      <c r="E55" t="s">
        <v>564</v>
      </c>
      <c r="F55" t="s">
        <v>627</v>
      </c>
      <c r="G55">
        <v>405119.25</v>
      </c>
      <c r="H55">
        <v>36</v>
      </c>
      <c r="I55">
        <v>81535.59</v>
      </c>
      <c r="J55" t="str">
        <f>TEXT(DATE(2024,Table1[[#This Row],[Month2]],1),"mmmm")</f>
        <v>July</v>
      </c>
      <c r="K55">
        <v>7</v>
      </c>
      <c r="L55">
        <v>2024</v>
      </c>
    </row>
    <row r="56" spans="1:12" x14ac:dyDescent="0.25">
      <c r="A56" t="s">
        <v>62</v>
      </c>
      <c r="B56" t="s">
        <v>303</v>
      </c>
      <c r="C56" t="s">
        <v>554</v>
      </c>
      <c r="D56" t="s">
        <v>559</v>
      </c>
      <c r="E56" t="s">
        <v>562</v>
      </c>
      <c r="F56" t="s">
        <v>628</v>
      </c>
      <c r="G56">
        <v>35142.269999999997</v>
      </c>
      <c r="H56">
        <v>43</v>
      </c>
      <c r="I56">
        <v>4874.6099999999997</v>
      </c>
      <c r="J56" t="str">
        <f>TEXT(DATE(2024,Table1[[#This Row],[Month2]],1),"mmmm")</f>
        <v>September</v>
      </c>
      <c r="K56">
        <v>9</v>
      </c>
      <c r="L56">
        <v>2025</v>
      </c>
    </row>
    <row r="57" spans="1:12" x14ac:dyDescent="0.25">
      <c r="A57" t="s">
        <v>35</v>
      </c>
      <c r="B57" t="s">
        <v>304</v>
      </c>
      <c r="C57" t="s">
        <v>556</v>
      </c>
      <c r="D57" t="s">
        <v>560</v>
      </c>
      <c r="E57" t="s">
        <v>573</v>
      </c>
      <c r="F57" t="s">
        <v>629</v>
      </c>
      <c r="G57">
        <v>199439.61</v>
      </c>
      <c r="H57">
        <v>18</v>
      </c>
      <c r="I57">
        <v>46253.98</v>
      </c>
      <c r="J57" t="str">
        <f>TEXT(DATE(2024,Table1[[#This Row],[Month2]],1),"mmmm")</f>
        <v>March</v>
      </c>
      <c r="K57">
        <v>3</v>
      </c>
      <c r="L57">
        <v>2025</v>
      </c>
    </row>
    <row r="58" spans="1:12" x14ac:dyDescent="0.25">
      <c r="A58" t="s">
        <v>63</v>
      </c>
      <c r="B58" t="s">
        <v>305</v>
      </c>
      <c r="C58" t="s">
        <v>556</v>
      </c>
      <c r="D58" t="s">
        <v>559</v>
      </c>
      <c r="E58" t="s">
        <v>565</v>
      </c>
      <c r="F58" t="s">
        <v>630</v>
      </c>
      <c r="G58">
        <v>112493.23</v>
      </c>
      <c r="H58">
        <v>48</v>
      </c>
      <c r="I58">
        <v>26018.19</v>
      </c>
      <c r="J58" t="str">
        <f>TEXT(DATE(2024,Table1[[#This Row],[Month2]],1),"mmmm")</f>
        <v>October</v>
      </c>
      <c r="K58">
        <v>10</v>
      </c>
      <c r="L58">
        <v>2025</v>
      </c>
    </row>
    <row r="59" spans="1:12" x14ac:dyDescent="0.25">
      <c r="A59" t="s">
        <v>64</v>
      </c>
      <c r="B59" t="s">
        <v>306</v>
      </c>
      <c r="C59" t="s">
        <v>556</v>
      </c>
      <c r="D59" t="s">
        <v>560</v>
      </c>
      <c r="E59" t="s">
        <v>564</v>
      </c>
      <c r="F59" t="s">
        <v>631</v>
      </c>
      <c r="G59">
        <v>182815.13</v>
      </c>
      <c r="H59">
        <v>17</v>
      </c>
      <c r="I59">
        <v>16087.05</v>
      </c>
      <c r="J59" t="str">
        <f>TEXT(DATE(2024,Table1[[#This Row],[Month2]],1),"mmmm")</f>
        <v>March</v>
      </c>
      <c r="K59">
        <v>3</v>
      </c>
      <c r="L59">
        <v>2025</v>
      </c>
    </row>
    <row r="60" spans="1:12" x14ac:dyDescent="0.25">
      <c r="A60" t="s">
        <v>65</v>
      </c>
      <c r="B60" t="s">
        <v>307</v>
      </c>
      <c r="C60" t="s">
        <v>554</v>
      </c>
      <c r="D60" t="s">
        <v>560</v>
      </c>
      <c r="E60" t="s">
        <v>566</v>
      </c>
      <c r="F60" t="s">
        <v>632</v>
      </c>
      <c r="G60">
        <v>158378.25</v>
      </c>
      <c r="H60">
        <v>43</v>
      </c>
      <c r="I60">
        <v>29036.45</v>
      </c>
      <c r="J60" t="str">
        <f>TEXT(DATE(2024,Table1[[#This Row],[Month2]],1),"mmmm")</f>
        <v>December</v>
      </c>
      <c r="K60">
        <v>12</v>
      </c>
      <c r="L60">
        <v>2024</v>
      </c>
    </row>
    <row r="61" spans="1:12" x14ac:dyDescent="0.25">
      <c r="A61" t="s">
        <v>47</v>
      </c>
      <c r="B61" t="s">
        <v>308</v>
      </c>
      <c r="C61" t="s">
        <v>555</v>
      </c>
      <c r="D61" t="s">
        <v>560</v>
      </c>
      <c r="E61" t="s">
        <v>569</v>
      </c>
      <c r="F61" t="s">
        <v>633</v>
      </c>
      <c r="G61">
        <v>26564.38</v>
      </c>
      <c r="H61">
        <v>4</v>
      </c>
      <c r="I61">
        <v>4701.87</v>
      </c>
      <c r="J61" t="str">
        <f>TEXT(DATE(2024,Table1[[#This Row],[Month2]],1),"mmmm")</f>
        <v>February</v>
      </c>
      <c r="K61">
        <v>2</v>
      </c>
      <c r="L61">
        <v>2025</v>
      </c>
    </row>
    <row r="62" spans="1:12" x14ac:dyDescent="0.25">
      <c r="A62" t="s">
        <v>66</v>
      </c>
      <c r="B62" t="s">
        <v>309</v>
      </c>
      <c r="C62" t="s">
        <v>555</v>
      </c>
      <c r="D62" t="s">
        <v>561</v>
      </c>
      <c r="E62" t="s">
        <v>571</v>
      </c>
      <c r="F62" t="s">
        <v>634</v>
      </c>
      <c r="G62">
        <v>217841.62</v>
      </c>
      <c r="H62">
        <v>25</v>
      </c>
      <c r="I62">
        <v>53367.06</v>
      </c>
      <c r="J62" t="str">
        <f>TEXT(DATE(2024,Table1[[#This Row],[Month2]],1),"mmmm")</f>
        <v>July</v>
      </c>
      <c r="K62">
        <v>7</v>
      </c>
      <c r="L62">
        <v>2025</v>
      </c>
    </row>
    <row r="63" spans="1:12" x14ac:dyDescent="0.25">
      <c r="A63" t="s">
        <v>67</v>
      </c>
      <c r="B63" t="s">
        <v>310</v>
      </c>
      <c r="C63" t="s">
        <v>551</v>
      </c>
      <c r="D63" t="s">
        <v>559</v>
      </c>
      <c r="E63" t="s">
        <v>563</v>
      </c>
      <c r="F63" t="s">
        <v>635</v>
      </c>
      <c r="G63">
        <v>13213.89</v>
      </c>
      <c r="H63">
        <v>50</v>
      </c>
      <c r="I63">
        <v>703.57</v>
      </c>
      <c r="J63" t="str">
        <f>TEXT(DATE(2024,Table1[[#This Row],[Month2]],1),"mmmm")</f>
        <v>February</v>
      </c>
      <c r="K63">
        <v>2</v>
      </c>
      <c r="L63">
        <v>2024</v>
      </c>
    </row>
    <row r="64" spans="1:12" x14ac:dyDescent="0.25">
      <c r="A64" t="s">
        <v>68</v>
      </c>
      <c r="B64" t="s">
        <v>311</v>
      </c>
      <c r="C64" t="s">
        <v>554</v>
      </c>
      <c r="D64" t="s">
        <v>560</v>
      </c>
      <c r="E64" t="s">
        <v>566</v>
      </c>
      <c r="F64" t="s">
        <v>636</v>
      </c>
      <c r="G64">
        <v>124685.24</v>
      </c>
      <c r="H64">
        <v>6</v>
      </c>
      <c r="I64">
        <v>16753.009999999998</v>
      </c>
      <c r="J64" t="str">
        <f>TEXT(DATE(2024,Table1[[#This Row],[Month2]],1),"mmmm")</f>
        <v>October</v>
      </c>
      <c r="K64">
        <v>10</v>
      </c>
      <c r="L64">
        <v>2024</v>
      </c>
    </row>
    <row r="65" spans="1:12" x14ac:dyDescent="0.25">
      <c r="A65" t="s">
        <v>69</v>
      </c>
      <c r="B65" t="s">
        <v>312</v>
      </c>
      <c r="C65" t="s">
        <v>558</v>
      </c>
      <c r="D65" t="s">
        <v>560</v>
      </c>
      <c r="E65" t="s">
        <v>566</v>
      </c>
      <c r="F65" t="s">
        <v>637</v>
      </c>
      <c r="G65">
        <v>163497.85</v>
      </c>
      <c r="H65">
        <v>4</v>
      </c>
      <c r="I65">
        <v>17570.240000000002</v>
      </c>
      <c r="J65" t="str">
        <f>TEXT(DATE(2024,Table1[[#This Row],[Month2]],1),"mmmm")</f>
        <v>January</v>
      </c>
      <c r="K65">
        <v>1</v>
      </c>
      <c r="L65">
        <v>2024</v>
      </c>
    </row>
    <row r="66" spans="1:12" x14ac:dyDescent="0.25">
      <c r="A66" t="s">
        <v>70</v>
      </c>
      <c r="B66" t="s">
        <v>313</v>
      </c>
      <c r="C66" t="s">
        <v>554</v>
      </c>
      <c r="D66" t="s">
        <v>559</v>
      </c>
      <c r="E66" t="s">
        <v>563</v>
      </c>
      <c r="F66" t="s">
        <v>638</v>
      </c>
      <c r="G66">
        <v>78552.509999999995</v>
      </c>
      <c r="H66">
        <v>29</v>
      </c>
      <c r="I66">
        <v>19021.62</v>
      </c>
      <c r="J66" t="str">
        <f>TEXT(DATE(2024,Table1[[#This Row],[Month2]],1),"mmmm")</f>
        <v>February</v>
      </c>
      <c r="K66">
        <v>2</v>
      </c>
      <c r="L66">
        <v>2024</v>
      </c>
    </row>
    <row r="67" spans="1:12" x14ac:dyDescent="0.25">
      <c r="A67" t="s">
        <v>71</v>
      </c>
      <c r="B67" t="s">
        <v>314</v>
      </c>
      <c r="C67" t="s">
        <v>556</v>
      </c>
      <c r="D67" t="s">
        <v>559</v>
      </c>
      <c r="E67" t="s">
        <v>565</v>
      </c>
      <c r="F67" t="s">
        <v>639</v>
      </c>
      <c r="G67">
        <v>381289.89</v>
      </c>
      <c r="H67">
        <v>4</v>
      </c>
      <c r="I67">
        <v>22854.26</v>
      </c>
      <c r="J67" t="str">
        <f>TEXT(DATE(2024,Table1[[#This Row],[Month2]],1),"mmmm")</f>
        <v>September</v>
      </c>
      <c r="K67">
        <v>9</v>
      </c>
      <c r="L67">
        <v>2025</v>
      </c>
    </row>
    <row r="68" spans="1:12" x14ac:dyDescent="0.25">
      <c r="A68" t="s">
        <v>72</v>
      </c>
      <c r="B68" t="s">
        <v>315</v>
      </c>
      <c r="C68" t="s">
        <v>554</v>
      </c>
      <c r="D68" t="s">
        <v>561</v>
      </c>
      <c r="E68" t="s">
        <v>571</v>
      </c>
      <c r="F68" t="s">
        <v>640</v>
      </c>
      <c r="G68">
        <v>183972.37</v>
      </c>
      <c r="H68">
        <v>37</v>
      </c>
      <c r="I68">
        <v>10306.280000000001</v>
      </c>
      <c r="J68" t="str">
        <f>TEXT(DATE(2024,Table1[[#This Row],[Month2]],1),"mmmm")</f>
        <v>July</v>
      </c>
      <c r="K68">
        <v>7</v>
      </c>
      <c r="L68">
        <v>2025</v>
      </c>
    </row>
    <row r="69" spans="1:12" x14ac:dyDescent="0.25">
      <c r="A69" t="s">
        <v>73</v>
      </c>
      <c r="B69" t="s">
        <v>316</v>
      </c>
      <c r="C69" t="s">
        <v>555</v>
      </c>
      <c r="D69" t="s">
        <v>561</v>
      </c>
      <c r="E69" t="s">
        <v>571</v>
      </c>
      <c r="F69" t="s">
        <v>641</v>
      </c>
      <c r="G69">
        <v>288932.52</v>
      </c>
      <c r="H69">
        <v>36</v>
      </c>
      <c r="I69">
        <v>67400.95</v>
      </c>
      <c r="J69" t="str">
        <f>TEXT(DATE(2024,Table1[[#This Row],[Month2]],1),"mmmm")</f>
        <v>July</v>
      </c>
      <c r="K69">
        <v>7</v>
      </c>
      <c r="L69">
        <v>2025</v>
      </c>
    </row>
    <row r="70" spans="1:12" x14ac:dyDescent="0.25">
      <c r="A70" t="s">
        <v>74</v>
      </c>
      <c r="B70" t="s">
        <v>317</v>
      </c>
      <c r="C70" t="s">
        <v>549</v>
      </c>
      <c r="D70" t="s">
        <v>559</v>
      </c>
      <c r="E70" t="s">
        <v>562</v>
      </c>
      <c r="F70" t="s">
        <v>642</v>
      </c>
      <c r="G70">
        <v>350772.61</v>
      </c>
      <c r="H70">
        <v>19</v>
      </c>
      <c r="I70">
        <v>52169.79</v>
      </c>
      <c r="J70" t="str">
        <f>TEXT(DATE(2024,Table1[[#This Row],[Month2]],1),"mmmm")</f>
        <v>March</v>
      </c>
      <c r="K70">
        <v>3</v>
      </c>
      <c r="L70">
        <v>2025</v>
      </c>
    </row>
    <row r="71" spans="1:12" x14ac:dyDescent="0.25">
      <c r="A71" t="s">
        <v>75</v>
      </c>
      <c r="B71" t="s">
        <v>318</v>
      </c>
      <c r="C71" t="s">
        <v>552</v>
      </c>
      <c r="D71" t="s">
        <v>560</v>
      </c>
      <c r="E71" t="s">
        <v>569</v>
      </c>
      <c r="F71" t="s">
        <v>643</v>
      </c>
      <c r="G71">
        <v>370422.55</v>
      </c>
      <c r="H71">
        <v>23</v>
      </c>
      <c r="I71">
        <v>71048.639999999999</v>
      </c>
      <c r="J71" t="str">
        <f>TEXT(DATE(2024,Table1[[#This Row],[Month2]],1),"mmmm")</f>
        <v>August</v>
      </c>
      <c r="K71">
        <v>8</v>
      </c>
      <c r="L71">
        <v>2024</v>
      </c>
    </row>
    <row r="72" spans="1:12" x14ac:dyDescent="0.25">
      <c r="A72" t="s">
        <v>32</v>
      </c>
      <c r="B72" t="s">
        <v>319</v>
      </c>
      <c r="C72" t="s">
        <v>554</v>
      </c>
      <c r="D72" t="s">
        <v>561</v>
      </c>
      <c r="E72" t="s">
        <v>568</v>
      </c>
      <c r="F72" t="s">
        <v>644</v>
      </c>
      <c r="G72">
        <v>390838.73</v>
      </c>
      <c r="H72">
        <v>8</v>
      </c>
      <c r="I72">
        <v>28712.47</v>
      </c>
      <c r="J72" t="str">
        <f>TEXT(DATE(2024,Table1[[#This Row],[Month2]],1),"mmmm")</f>
        <v>February</v>
      </c>
      <c r="K72">
        <v>2</v>
      </c>
      <c r="L72">
        <v>2025</v>
      </c>
    </row>
    <row r="73" spans="1:12" x14ac:dyDescent="0.25">
      <c r="A73" t="s">
        <v>76</v>
      </c>
      <c r="B73" t="s">
        <v>320</v>
      </c>
      <c r="C73" t="s">
        <v>549</v>
      </c>
      <c r="D73" t="s">
        <v>559</v>
      </c>
      <c r="E73" t="s">
        <v>567</v>
      </c>
      <c r="F73" t="s">
        <v>645</v>
      </c>
      <c r="G73">
        <v>128661.58</v>
      </c>
      <c r="H73">
        <v>13</v>
      </c>
      <c r="I73">
        <v>17659.28</v>
      </c>
      <c r="J73" t="str">
        <f>TEXT(DATE(2024,Table1[[#This Row],[Month2]],1),"mmmm")</f>
        <v>May</v>
      </c>
      <c r="K73">
        <v>5</v>
      </c>
      <c r="L73">
        <v>2024</v>
      </c>
    </row>
    <row r="74" spans="1:12" x14ac:dyDescent="0.25">
      <c r="A74" t="s">
        <v>77</v>
      </c>
      <c r="B74" t="s">
        <v>321</v>
      </c>
      <c r="C74" t="s">
        <v>557</v>
      </c>
      <c r="D74" t="s">
        <v>561</v>
      </c>
      <c r="E74" t="s">
        <v>568</v>
      </c>
      <c r="F74" t="s">
        <v>646</v>
      </c>
      <c r="G74">
        <v>369092.13</v>
      </c>
      <c r="H74">
        <v>10</v>
      </c>
      <c r="I74">
        <v>76722.259999999995</v>
      </c>
      <c r="J74" t="str">
        <f>TEXT(DATE(2024,Table1[[#This Row],[Month2]],1),"mmmm")</f>
        <v>December</v>
      </c>
      <c r="K74">
        <v>12</v>
      </c>
      <c r="L74">
        <v>2025</v>
      </c>
    </row>
    <row r="75" spans="1:12" x14ac:dyDescent="0.25">
      <c r="A75" t="s">
        <v>17</v>
      </c>
      <c r="B75" t="s">
        <v>322</v>
      </c>
      <c r="C75" t="s">
        <v>556</v>
      </c>
      <c r="D75" t="s">
        <v>560</v>
      </c>
      <c r="E75" t="s">
        <v>573</v>
      </c>
      <c r="F75" t="s">
        <v>647</v>
      </c>
      <c r="G75">
        <v>51684.91</v>
      </c>
      <c r="H75">
        <v>34</v>
      </c>
      <c r="I75">
        <v>4840.18</v>
      </c>
      <c r="J75" t="str">
        <f>TEXT(DATE(2024,Table1[[#This Row],[Month2]],1),"mmmm")</f>
        <v>January</v>
      </c>
      <c r="K75">
        <v>1</v>
      </c>
      <c r="L75">
        <v>2025</v>
      </c>
    </row>
    <row r="76" spans="1:12" x14ac:dyDescent="0.25">
      <c r="A76" t="s">
        <v>78</v>
      </c>
      <c r="B76" t="s">
        <v>323</v>
      </c>
      <c r="C76" t="s">
        <v>558</v>
      </c>
      <c r="D76" t="s">
        <v>560</v>
      </c>
      <c r="E76" t="s">
        <v>569</v>
      </c>
      <c r="F76" t="s">
        <v>648</v>
      </c>
      <c r="G76">
        <v>76392.800000000003</v>
      </c>
      <c r="H76">
        <v>3</v>
      </c>
      <c r="I76">
        <v>15555.5</v>
      </c>
      <c r="J76" t="str">
        <f>TEXT(DATE(2024,Table1[[#This Row],[Month2]],1),"mmmm")</f>
        <v>March</v>
      </c>
      <c r="K76">
        <v>3</v>
      </c>
      <c r="L76">
        <v>2024</v>
      </c>
    </row>
    <row r="77" spans="1:12" x14ac:dyDescent="0.25">
      <c r="A77" t="s">
        <v>79</v>
      </c>
      <c r="B77" t="s">
        <v>324</v>
      </c>
      <c r="C77" t="s">
        <v>555</v>
      </c>
      <c r="D77" t="s">
        <v>560</v>
      </c>
      <c r="E77" t="s">
        <v>569</v>
      </c>
      <c r="F77" t="s">
        <v>649</v>
      </c>
      <c r="G77">
        <v>122938.21</v>
      </c>
      <c r="H77">
        <v>3</v>
      </c>
      <c r="I77">
        <v>11028.24</v>
      </c>
      <c r="J77" t="str">
        <f>TEXT(DATE(2024,Table1[[#This Row],[Month2]],1),"mmmm")</f>
        <v>October</v>
      </c>
      <c r="K77">
        <v>10</v>
      </c>
      <c r="L77">
        <v>2024</v>
      </c>
    </row>
    <row r="78" spans="1:12" x14ac:dyDescent="0.25">
      <c r="A78" t="s">
        <v>80</v>
      </c>
      <c r="B78" t="s">
        <v>325</v>
      </c>
      <c r="C78" t="s">
        <v>553</v>
      </c>
      <c r="D78" t="s">
        <v>559</v>
      </c>
      <c r="E78" t="s">
        <v>562</v>
      </c>
      <c r="F78" t="s">
        <v>650</v>
      </c>
      <c r="G78">
        <v>87928.51</v>
      </c>
      <c r="H78">
        <v>21</v>
      </c>
      <c r="I78">
        <v>17194.96</v>
      </c>
      <c r="J78" t="str">
        <f>TEXT(DATE(2024,Table1[[#This Row],[Month2]],1),"mmmm")</f>
        <v>October</v>
      </c>
      <c r="K78">
        <v>10</v>
      </c>
      <c r="L78">
        <v>2025</v>
      </c>
    </row>
    <row r="79" spans="1:12" x14ac:dyDescent="0.25">
      <c r="A79" t="s">
        <v>81</v>
      </c>
      <c r="B79" t="s">
        <v>326</v>
      </c>
      <c r="C79" t="s">
        <v>556</v>
      </c>
      <c r="D79" t="s">
        <v>559</v>
      </c>
      <c r="E79" t="s">
        <v>567</v>
      </c>
      <c r="F79" t="s">
        <v>651</v>
      </c>
      <c r="G79">
        <v>130963.46</v>
      </c>
      <c r="H79">
        <v>44</v>
      </c>
      <c r="I79">
        <v>19088.98</v>
      </c>
      <c r="J79" t="str">
        <f>TEXT(DATE(2024,Table1[[#This Row],[Month2]],1),"mmmm")</f>
        <v>January</v>
      </c>
      <c r="K79">
        <v>1</v>
      </c>
      <c r="L79">
        <v>2024</v>
      </c>
    </row>
    <row r="80" spans="1:12" x14ac:dyDescent="0.25">
      <c r="A80" t="s">
        <v>82</v>
      </c>
      <c r="B80" t="s">
        <v>327</v>
      </c>
      <c r="C80" t="s">
        <v>549</v>
      </c>
      <c r="D80" t="s">
        <v>560</v>
      </c>
      <c r="E80" t="s">
        <v>566</v>
      </c>
      <c r="F80" t="s">
        <v>652</v>
      </c>
      <c r="G80">
        <v>477512.63</v>
      </c>
      <c r="H80">
        <v>22</v>
      </c>
      <c r="I80">
        <v>68596.36</v>
      </c>
      <c r="J80" t="str">
        <f>TEXT(DATE(2024,Table1[[#This Row],[Month2]],1),"mmmm")</f>
        <v>July</v>
      </c>
      <c r="K80">
        <v>7</v>
      </c>
      <c r="L80">
        <v>2025</v>
      </c>
    </row>
    <row r="81" spans="1:12" x14ac:dyDescent="0.25">
      <c r="A81" t="s">
        <v>83</v>
      </c>
      <c r="B81" t="s">
        <v>328</v>
      </c>
      <c r="C81" t="s">
        <v>557</v>
      </c>
      <c r="D81" t="s">
        <v>559</v>
      </c>
      <c r="E81" t="s">
        <v>563</v>
      </c>
      <c r="F81" t="s">
        <v>653</v>
      </c>
      <c r="G81">
        <v>162578.26999999999</v>
      </c>
      <c r="H81">
        <v>48</v>
      </c>
      <c r="I81">
        <v>18398.580000000002</v>
      </c>
      <c r="J81" t="str">
        <f>TEXT(DATE(2024,Table1[[#This Row],[Month2]],1),"mmmm")</f>
        <v>November</v>
      </c>
      <c r="K81">
        <v>11</v>
      </c>
      <c r="L81">
        <v>2024</v>
      </c>
    </row>
    <row r="82" spans="1:12" x14ac:dyDescent="0.25">
      <c r="A82" t="s">
        <v>84</v>
      </c>
      <c r="B82" t="s">
        <v>329</v>
      </c>
      <c r="C82" t="s">
        <v>551</v>
      </c>
      <c r="D82" t="s">
        <v>560</v>
      </c>
      <c r="E82" t="s">
        <v>566</v>
      </c>
      <c r="F82" t="s">
        <v>654</v>
      </c>
      <c r="G82">
        <v>295061.24</v>
      </c>
      <c r="H82">
        <v>42</v>
      </c>
      <c r="I82">
        <v>23766.33</v>
      </c>
      <c r="J82" t="str">
        <f>TEXT(DATE(2024,Table1[[#This Row],[Month2]],1),"mmmm")</f>
        <v>July</v>
      </c>
      <c r="K82">
        <v>7</v>
      </c>
      <c r="L82">
        <v>2025</v>
      </c>
    </row>
    <row r="83" spans="1:12" x14ac:dyDescent="0.25">
      <c r="A83" t="s">
        <v>85</v>
      </c>
      <c r="B83" t="s">
        <v>330</v>
      </c>
      <c r="C83" t="s">
        <v>554</v>
      </c>
      <c r="D83" t="s">
        <v>561</v>
      </c>
      <c r="E83" t="s">
        <v>572</v>
      </c>
      <c r="F83" t="s">
        <v>655</v>
      </c>
      <c r="G83">
        <v>460104.79</v>
      </c>
      <c r="H83">
        <v>22</v>
      </c>
      <c r="I83">
        <v>83575.08</v>
      </c>
      <c r="J83" t="str">
        <f>TEXT(DATE(2024,Table1[[#This Row],[Month2]],1),"mmmm")</f>
        <v>September</v>
      </c>
      <c r="K83">
        <v>9</v>
      </c>
      <c r="L83">
        <v>2024</v>
      </c>
    </row>
    <row r="84" spans="1:12" x14ac:dyDescent="0.25">
      <c r="A84" t="s">
        <v>61</v>
      </c>
      <c r="B84" t="s">
        <v>331</v>
      </c>
      <c r="C84" t="s">
        <v>553</v>
      </c>
      <c r="D84" t="s">
        <v>561</v>
      </c>
      <c r="E84" t="s">
        <v>570</v>
      </c>
      <c r="F84" t="s">
        <v>656</v>
      </c>
      <c r="G84">
        <v>453761.29</v>
      </c>
      <c r="H84">
        <v>37</v>
      </c>
      <c r="I84">
        <v>54768.51</v>
      </c>
      <c r="J84" t="str">
        <f>TEXT(DATE(2024,Table1[[#This Row],[Month2]],1),"mmmm")</f>
        <v>July</v>
      </c>
      <c r="K84">
        <v>7</v>
      </c>
      <c r="L84">
        <v>2024</v>
      </c>
    </row>
    <row r="85" spans="1:12" x14ac:dyDescent="0.25">
      <c r="A85" t="s">
        <v>86</v>
      </c>
      <c r="B85" t="s">
        <v>332</v>
      </c>
      <c r="C85" t="s">
        <v>550</v>
      </c>
      <c r="D85" t="s">
        <v>560</v>
      </c>
      <c r="E85" t="s">
        <v>569</v>
      </c>
      <c r="F85" t="s">
        <v>657</v>
      </c>
      <c r="G85">
        <v>138226.20000000001</v>
      </c>
      <c r="H85">
        <v>30</v>
      </c>
      <c r="I85">
        <v>25333.13</v>
      </c>
      <c r="J85" t="str">
        <f>TEXT(DATE(2024,Table1[[#This Row],[Month2]],1),"mmmm")</f>
        <v>June</v>
      </c>
      <c r="K85">
        <v>6</v>
      </c>
      <c r="L85">
        <v>2025</v>
      </c>
    </row>
    <row r="86" spans="1:12" x14ac:dyDescent="0.25">
      <c r="A86" t="s">
        <v>87</v>
      </c>
      <c r="B86" t="s">
        <v>333</v>
      </c>
      <c r="C86" t="s">
        <v>556</v>
      </c>
      <c r="D86" t="s">
        <v>559</v>
      </c>
      <c r="E86" t="s">
        <v>565</v>
      </c>
      <c r="F86" t="s">
        <v>658</v>
      </c>
      <c r="G86">
        <v>184407.39</v>
      </c>
      <c r="H86">
        <v>12</v>
      </c>
      <c r="I86">
        <v>16967.95</v>
      </c>
      <c r="J86" t="str">
        <f>TEXT(DATE(2024,Table1[[#This Row],[Month2]],1),"mmmm")</f>
        <v>August</v>
      </c>
      <c r="K86">
        <v>8</v>
      </c>
      <c r="L86">
        <v>2024</v>
      </c>
    </row>
    <row r="87" spans="1:12" x14ac:dyDescent="0.25">
      <c r="A87" t="s">
        <v>88</v>
      </c>
      <c r="B87" t="s">
        <v>334</v>
      </c>
      <c r="C87" t="s">
        <v>556</v>
      </c>
      <c r="D87" t="s">
        <v>559</v>
      </c>
      <c r="E87" t="s">
        <v>565</v>
      </c>
      <c r="F87" t="s">
        <v>659</v>
      </c>
      <c r="G87">
        <v>152064.98000000001</v>
      </c>
      <c r="H87">
        <v>7</v>
      </c>
      <c r="I87">
        <v>24325.05</v>
      </c>
      <c r="J87" t="str">
        <f>TEXT(DATE(2024,Table1[[#This Row],[Month2]],1),"mmmm")</f>
        <v>April</v>
      </c>
      <c r="K87">
        <v>4</v>
      </c>
      <c r="L87">
        <v>2025</v>
      </c>
    </row>
    <row r="88" spans="1:12" x14ac:dyDescent="0.25">
      <c r="A88" t="s">
        <v>89</v>
      </c>
      <c r="B88" t="s">
        <v>335</v>
      </c>
      <c r="C88" t="s">
        <v>555</v>
      </c>
      <c r="D88" t="s">
        <v>559</v>
      </c>
      <c r="E88" t="s">
        <v>567</v>
      </c>
      <c r="F88" t="s">
        <v>660</v>
      </c>
      <c r="G88">
        <v>168298.28</v>
      </c>
      <c r="H88">
        <v>1</v>
      </c>
      <c r="I88">
        <v>28314.959999999999</v>
      </c>
      <c r="J88" t="str">
        <f>TEXT(DATE(2024,Table1[[#This Row],[Month2]],1),"mmmm")</f>
        <v>January</v>
      </c>
      <c r="K88">
        <v>1</v>
      </c>
      <c r="L88">
        <v>2025</v>
      </c>
    </row>
    <row r="89" spans="1:12" x14ac:dyDescent="0.25">
      <c r="A89" t="s">
        <v>90</v>
      </c>
      <c r="B89" t="s">
        <v>336</v>
      </c>
      <c r="C89" t="s">
        <v>554</v>
      </c>
      <c r="D89" t="s">
        <v>560</v>
      </c>
      <c r="E89" t="s">
        <v>566</v>
      </c>
      <c r="F89" t="s">
        <v>661</v>
      </c>
      <c r="G89">
        <v>306489.2</v>
      </c>
      <c r="H89">
        <v>18</v>
      </c>
      <c r="I89">
        <v>38566.53</v>
      </c>
      <c r="J89" t="str">
        <f>TEXT(DATE(2024,Table1[[#This Row],[Month2]],1),"mmmm")</f>
        <v>March</v>
      </c>
      <c r="K89">
        <v>3</v>
      </c>
      <c r="L89">
        <v>2024</v>
      </c>
    </row>
    <row r="90" spans="1:12" x14ac:dyDescent="0.25">
      <c r="A90" t="s">
        <v>91</v>
      </c>
      <c r="B90" t="s">
        <v>337</v>
      </c>
      <c r="C90" t="s">
        <v>557</v>
      </c>
      <c r="D90" t="s">
        <v>561</v>
      </c>
      <c r="E90" t="s">
        <v>571</v>
      </c>
      <c r="F90" t="s">
        <v>662</v>
      </c>
      <c r="G90">
        <v>163422.35999999999</v>
      </c>
      <c r="H90">
        <v>3</v>
      </c>
      <c r="I90">
        <v>14877.12</v>
      </c>
      <c r="J90" t="str">
        <f>TEXT(DATE(2024,Table1[[#This Row],[Month2]],1),"mmmm")</f>
        <v>July</v>
      </c>
      <c r="K90">
        <v>7</v>
      </c>
      <c r="L90">
        <v>2024</v>
      </c>
    </row>
    <row r="91" spans="1:12" x14ac:dyDescent="0.25">
      <c r="A91" t="s">
        <v>92</v>
      </c>
      <c r="B91" t="s">
        <v>338</v>
      </c>
      <c r="C91" t="s">
        <v>550</v>
      </c>
      <c r="D91" t="s">
        <v>559</v>
      </c>
      <c r="E91" t="s">
        <v>565</v>
      </c>
      <c r="F91" t="s">
        <v>663</v>
      </c>
      <c r="G91">
        <v>458239.69</v>
      </c>
      <c r="H91">
        <v>20</v>
      </c>
      <c r="I91">
        <v>28073.05</v>
      </c>
      <c r="J91" t="str">
        <f>TEXT(DATE(2024,Table1[[#This Row],[Month2]],1),"mmmm")</f>
        <v>April</v>
      </c>
      <c r="K91">
        <v>4</v>
      </c>
      <c r="L91">
        <v>2025</v>
      </c>
    </row>
    <row r="92" spans="1:12" x14ac:dyDescent="0.25">
      <c r="A92" t="s">
        <v>93</v>
      </c>
      <c r="B92" t="s">
        <v>339</v>
      </c>
      <c r="C92" t="s">
        <v>558</v>
      </c>
      <c r="D92" t="s">
        <v>560</v>
      </c>
      <c r="E92" t="s">
        <v>569</v>
      </c>
      <c r="F92" t="s">
        <v>664</v>
      </c>
      <c r="G92">
        <v>9715.24</v>
      </c>
      <c r="H92">
        <v>39</v>
      </c>
      <c r="I92">
        <v>1011.56</v>
      </c>
      <c r="J92" t="str">
        <f>TEXT(DATE(2024,Table1[[#This Row],[Month2]],1),"mmmm")</f>
        <v>March</v>
      </c>
      <c r="K92">
        <v>3</v>
      </c>
      <c r="L92">
        <v>2025</v>
      </c>
    </row>
    <row r="93" spans="1:12" x14ac:dyDescent="0.25">
      <c r="A93" t="s">
        <v>94</v>
      </c>
      <c r="B93" t="s">
        <v>340</v>
      </c>
      <c r="C93" t="s">
        <v>557</v>
      </c>
      <c r="D93" t="s">
        <v>560</v>
      </c>
      <c r="E93" t="s">
        <v>564</v>
      </c>
      <c r="F93" t="s">
        <v>665</v>
      </c>
      <c r="G93">
        <v>159867.62</v>
      </c>
      <c r="H93">
        <v>1</v>
      </c>
      <c r="I93">
        <v>37016.47</v>
      </c>
      <c r="J93" t="str">
        <f>TEXT(DATE(2024,Table1[[#This Row],[Month2]],1),"mmmm")</f>
        <v>May</v>
      </c>
      <c r="K93">
        <v>5</v>
      </c>
      <c r="L93">
        <v>2025</v>
      </c>
    </row>
    <row r="94" spans="1:12" x14ac:dyDescent="0.25">
      <c r="A94" t="s">
        <v>95</v>
      </c>
      <c r="B94" t="s">
        <v>341</v>
      </c>
      <c r="C94" t="s">
        <v>557</v>
      </c>
      <c r="D94" t="s">
        <v>560</v>
      </c>
      <c r="E94" t="s">
        <v>569</v>
      </c>
      <c r="F94" t="s">
        <v>666</v>
      </c>
      <c r="G94">
        <v>338510.19</v>
      </c>
      <c r="H94">
        <v>13</v>
      </c>
      <c r="I94">
        <v>74271.58</v>
      </c>
      <c r="J94" t="str">
        <f>TEXT(DATE(2024,Table1[[#This Row],[Month2]],1),"mmmm")</f>
        <v>October</v>
      </c>
      <c r="K94">
        <v>10</v>
      </c>
      <c r="L94">
        <v>2025</v>
      </c>
    </row>
    <row r="95" spans="1:12" x14ac:dyDescent="0.25">
      <c r="A95" t="s">
        <v>96</v>
      </c>
      <c r="B95" t="s">
        <v>342</v>
      </c>
      <c r="C95" t="s">
        <v>554</v>
      </c>
      <c r="D95" t="s">
        <v>561</v>
      </c>
      <c r="E95" t="s">
        <v>572</v>
      </c>
      <c r="F95" t="s">
        <v>667</v>
      </c>
      <c r="G95">
        <v>68714.759999999995</v>
      </c>
      <c r="H95">
        <v>43</v>
      </c>
      <c r="I95">
        <v>10635.19</v>
      </c>
      <c r="J95" t="str">
        <f>TEXT(DATE(2024,Table1[[#This Row],[Month2]],1),"mmmm")</f>
        <v>August</v>
      </c>
      <c r="K95">
        <v>8</v>
      </c>
      <c r="L95">
        <v>2024</v>
      </c>
    </row>
    <row r="96" spans="1:12" x14ac:dyDescent="0.25">
      <c r="A96" t="s">
        <v>97</v>
      </c>
      <c r="B96" t="s">
        <v>343</v>
      </c>
      <c r="C96" t="s">
        <v>558</v>
      </c>
      <c r="D96" t="s">
        <v>560</v>
      </c>
      <c r="E96" t="s">
        <v>566</v>
      </c>
      <c r="F96" t="s">
        <v>668</v>
      </c>
      <c r="G96">
        <v>42840.65</v>
      </c>
      <c r="H96">
        <v>49</v>
      </c>
      <c r="I96">
        <v>3780.68</v>
      </c>
      <c r="J96" t="str">
        <f>TEXT(DATE(2024,Table1[[#This Row],[Month2]],1),"mmmm")</f>
        <v>December</v>
      </c>
      <c r="K96">
        <v>12</v>
      </c>
      <c r="L96">
        <v>2024</v>
      </c>
    </row>
    <row r="97" spans="1:12" x14ac:dyDescent="0.25">
      <c r="A97" t="s">
        <v>98</v>
      </c>
      <c r="B97" t="s">
        <v>344</v>
      </c>
      <c r="C97" t="s">
        <v>555</v>
      </c>
      <c r="D97" t="s">
        <v>560</v>
      </c>
      <c r="E97" t="s">
        <v>569</v>
      </c>
      <c r="F97" t="s">
        <v>669</v>
      </c>
      <c r="G97">
        <v>284601.63</v>
      </c>
      <c r="H97">
        <v>25</v>
      </c>
      <c r="I97">
        <v>44718.97</v>
      </c>
      <c r="J97" t="str">
        <f>TEXT(DATE(2024,Table1[[#This Row],[Month2]],1),"mmmm")</f>
        <v>October</v>
      </c>
      <c r="K97">
        <v>10</v>
      </c>
      <c r="L97">
        <v>2025</v>
      </c>
    </row>
    <row r="98" spans="1:12" x14ac:dyDescent="0.25">
      <c r="A98" t="s">
        <v>99</v>
      </c>
      <c r="B98" t="s">
        <v>345</v>
      </c>
      <c r="C98" t="s">
        <v>557</v>
      </c>
      <c r="D98" t="s">
        <v>560</v>
      </c>
      <c r="E98" t="s">
        <v>573</v>
      </c>
      <c r="F98" t="s">
        <v>670</v>
      </c>
      <c r="G98">
        <v>270363.52000000002</v>
      </c>
      <c r="H98">
        <v>30</v>
      </c>
      <c r="I98">
        <v>61015.9</v>
      </c>
      <c r="J98" t="str">
        <f>TEXT(DATE(2024,Table1[[#This Row],[Month2]],1),"mmmm")</f>
        <v>April</v>
      </c>
      <c r="K98">
        <v>4</v>
      </c>
      <c r="L98">
        <v>2025</v>
      </c>
    </row>
    <row r="99" spans="1:12" x14ac:dyDescent="0.25">
      <c r="A99" t="s">
        <v>100</v>
      </c>
      <c r="B99" t="s">
        <v>346</v>
      </c>
      <c r="C99" t="s">
        <v>553</v>
      </c>
      <c r="D99" t="s">
        <v>559</v>
      </c>
      <c r="E99" t="s">
        <v>562</v>
      </c>
      <c r="F99" t="s">
        <v>671</v>
      </c>
      <c r="G99">
        <v>292044.78999999998</v>
      </c>
      <c r="H99">
        <v>36</v>
      </c>
      <c r="I99">
        <v>23377.49</v>
      </c>
      <c r="J99" t="str">
        <f>TEXT(DATE(2024,Table1[[#This Row],[Month2]],1),"mmmm")</f>
        <v>March</v>
      </c>
      <c r="K99">
        <v>3</v>
      </c>
      <c r="L99">
        <v>2025</v>
      </c>
    </row>
    <row r="100" spans="1:12" x14ac:dyDescent="0.25">
      <c r="A100" t="s">
        <v>101</v>
      </c>
      <c r="B100" t="s">
        <v>347</v>
      </c>
      <c r="C100" t="s">
        <v>554</v>
      </c>
      <c r="D100" t="s">
        <v>561</v>
      </c>
      <c r="E100" t="s">
        <v>570</v>
      </c>
      <c r="F100" t="s">
        <v>672</v>
      </c>
      <c r="G100">
        <v>390052.72</v>
      </c>
      <c r="H100">
        <v>2</v>
      </c>
      <c r="I100">
        <v>76655.990000000005</v>
      </c>
      <c r="J100" t="str">
        <f>TEXT(DATE(2024,Table1[[#This Row],[Month2]],1),"mmmm")</f>
        <v>November</v>
      </c>
      <c r="K100">
        <v>11</v>
      </c>
      <c r="L100">
        <v>2025</v>
      </c>
    </row>
    <row r="101" spans="1:12" x14ac:dyDescent="0.25">
      <c r="A101" t="s">
        <v>102</v>
      </c>
      <c r="B101" t="s">
        <v>348</v>
      </c>
      <c r="C101" t="s">
        <v>558</v>
      </c>
      <c r="D101" t="s">
        <v>561</v>
      </c>
      <c r="E101" t="s">
        <v>572</v>
      </c>
      <c r="F101" t="s">
        <v>673</v>
      </c>
      <c r="G101">
        <v>104393.27</v>
      </c>
      <c r="H101">
        <v>46</v>
      </c>
      <c r="I101">
        <v>14689.35</v>
      </c>
      <c r="J101" t="str">
        <f>TEXT(DATE(2024,Table1[[#This Row],[Month2]],1),"mmmm")</f>
        <v>April</v>
      </c>
      <c r="K101">
        <v>4</v>
      </c>
      <c r="L101">
        <v>2024</v>
      </c>
    </row>
    <row r="102" spans="1:12" x14ac:dyDescent="0.25">
      <c r="A102" t="s">
        <v>103</v>
      </c>
      <c r="B102" t="s">
        <v>349</v>
      </c>
      <c r="C102" t="s">
        <v>558</v>
      </c>
      <c r="D102" t="s">
        <v>559</v>
      </c>
      <c r="E102" t="s">
        <v>563</v>
      </c>
      <c r="F102" t="s">
        <v>674</v>
      </c>
      <c r="G102">
        <v>309430.52</v>
      </c>
      <c r="H102">
        <v>24</v>
      </c>
      <c r="I102">
        <v>31428.48</v>
      </c>
      <c r="J102" t="str">
        <f>TEXT(DATE(2024,Table1[[#This Row],[Month2]],1),"mmmm")</f>
        <v>October</v>
      </c>
      <c r="K102">
        <v>10</v>
      </c>
      <c r="L102">
        <v>2025</v>
      </c>
    </row>
    <row r="103" spans="1:12" x14ac:dyDescent="0.25">
      <c r="A103" t="s">
        <v>104</v>
      </c>
      <c r="B103" t="s">
        <v>350</v>
      </c>
      <c r="C103" t="s">
        <v>555</v>
      </c>
      <c r="D103" t="s">
        <v>559</v>
      </c>
      <c r="E103" t="s">
        <v>565</v>
      </c>
      <c r="F103" t="s">
        <v>675</v>
      </c>
      <c r="G103">
        <v>367944.55</v>
      </c>
      <c r="H103">
        <v>49</v>
      </c>
      <c r="I103">
        <v>75245.05</v>
      </c>
      <c r="J103" t="str">
        <f>TEXT(DATE(2024,Table1[[#This Row],[Month2]],1),"mmmm")</f>
        <v>May</v>
      </c>
      <c r="K103">
        <v>5</v>
      </c>
      <c r="L103">
        <v>2025</v>
      </c>
    </row>
    <row r="104" spans="1:12" x14ac:dyDescent="0.25">
      <c r="A104" t="s">
        <v>105</v>
      </c>
      <c r="B104" t="s">
        <v>351</v>
      </c>
      <c r="C104" t="s">
        <v>556</v>
      </c>
      <c r="D104" t="s">
        <v>560</v>
      </c>
      <c r="E104" t="s">
        <v>569</v>
      </c>
      <c r="F104" t="s">
        <v>676</v>
      </c>
      <c r="G104">
        <v>294154.18</v>
      </c>
      <c r="H104">
        <v>10</v>
      </c>
      <c r="I104">
        <v>66481.17</v>
      </c>
      <c r="J104" t="str">
        <f>TEXT(DATE(2024,Table1[[#This Row],[Month2]],1),"mmmm")</f>
        <v>July</v>
      </c>
      <c r="K104">
        <v>7</v>
      </c>
      <c r="L104">
        <v>2025</v>
      </c>
    </row>
    <row r="105" spans="1:12" x14ac:dyDescent="0.25">
      <c r="A105" t="s">
        <v>106</v>
      </c>
      <c r="B105" t="s">
        <v>352</v>
      </c>
      <c r="C105" t="s">
        <v>554</v>
      </c>
      <c r="D105" t="s">
        <v>559</v>
      </c>
      <c r="E105" t="s">
        <v>563</v>
      </c>
      <c r="F105" t="s">
        <v>677</v>
      </c>
      <c r="G105">
        <v>476236.79</v>
      </c>
      <c r="H105">
        <v>10</v>
      </c>
      <c r="I105">
        <v>80491.320000000007</v>
      </c>
      <c r="J105" t="str">
        <f>TEXT(DATE(2024,Table1[[#This Row],[Month2]],1),"mmmm")</f>
        <v>April</v>
      </c>
      <c r="K105">
        <v>4</v>
      </c>
      <c r="L105">
        <v>2025</v>
      </c>
    </row>
    <row r="106" spans="1:12" x14ac:dyDescent="0.25">
      <c r="A106" t="s">
        <v>107</v>
      </c>
      <c r="B106" t="s">
        <v>353</v>
      </c>
      <c r="C106" t="s">
        <v>553</v>
      </c>
      <c r="D106" t="s">
        <v>561</v>
      </c>
      <c r="E106" t="s">
        <v>571</v>
      </c>
      <c r="F106" t="s">
        <v>678</v>
      </c>
      <c r="G106">
        <v>99537.02</v>
      </c>
      <c r="H106">
        <v>50</v>
      </c>
      <c r="I106">
        <v>8447.84</v>
      </c>
      <c r="J106" t="str">
        <f>TEXT(DATE(2024,Table1[[#This Row],[Month2]],1),"mmmm")</f>
        <v>January</v>
      </c>
      <c r="K106">
        <v>1</v>
      </c>
      <c r="L106">
        <v>2024</v>
      </c>
    </row>
    <row r="107" spans="1:12" x14ac:dyDescent="0.25">
      <c r="A107" t="s">
        <v>108</v>
      </c>
      <c r="B107" t="s">
        <v>354</v>
      </c>
      <c r="C107" t="s">
        <v>555</v>
      </c>
      <c r="D107" t="s">
        <v>560</v>
      </c>
      <c r="E107" t="s">
        <v>566</v>
      </c>
      <c r="F107" t="s">
        <v>679</v>
      </c>
      <c r="G107">
        <v>138341.1</v>
      </c>
      <c r="H107">
        <v>7</v>
      </c>
      <c r="I107">
        <v>14103.78</v>
      </c>
      <c r="J107" t="str">
        <f>TEXT(DATE(2024,Table1[[#This Row],[Month2]],1),"mmmm")</f>
        <v>April</v>
      </c>
      <c r="K107">
        <v>4</v>
      </c>
      <c r="L107">
        <v>2025</v>
      </c>
    </row>
    <row r="108" spans="1:12" x14ac:dyDescent="0.25">
      <c r="A108" t="s">
        <v>109</v>
      </c>
      <c r="B108" t="s">
        <v>355</v>
      </c>
      <c r="C108" t="s">
        <v>551</v>
      </c>
      <c r="D108" t="s">
        <v>559</v>
      </c>
      <c r="E108" t="s">
        <v>567</v>
      </c>
      <c r="F108" t="s">
        <v>680</v>
      </c>
      <c r="G108">
        <v>338393.27</v>
      </c>
      <c r="H108">
        <v>10</v>
      </c>
      <c r="I108">
        <v>66319.58</v>
      </c>
      <c r="J108" t="str">
        <f>TEXT(DATE(2024,Table1[[#This Row],[Month2]],1),"mmmm")</f>
        <v>October</v>
      </c>
      <c r="K108">
        <v>10</v>
      </c>
      <c r="L108">
        <v>2024</v>
      </c>
    </row>
    <row r="109" spans="1:12" x14ac:dyDescent="0.25">
      <c r="A109" t="s">
        <v>93</v>
      </c>
      <c r="B109" t="s">
        <v>356</v>
      </c>
      <c r="C109" t="s">
        <v>556</v>
      </c>
      <c r="D109" t="s">
        <v>561</v>
      </c>
      <c r="E109" t="s">
        <v>568</v>
      </c>
      <c r="F109" t="s">
        <v>681</v>
      </c>
      <c r="G109">
        <v>378357.07</v>
      </c>
      <c r="H109">
        <v>3</v>
      </c>
      <c r="I109">
        <v>69971.990000000005</v>
      </c>
      <c r="J109" t="str">
        <f>TEXT(DATE(2024,Table1[[#This Row],[Month2]],1),"mmmm")</f>
        <v>March</v>
      </c>
      <c r="K109">
        <v>3</v>
      </c>
      <c r="L109">
        <v>2025</v>
      </c>
    </row>
    <row r="110" spans="1:12" x14ac:dyDescent="0.25">
      <c r="A110" t="s">
        <v>80</v>
      </c>
      <c r="B110" t="s">
        <v>357</v>
      </c>
      <c r="C110" t="s">
        <v>553</v>
      </c>
      <c r="D110" t="s">
        <v>561</v>
      </c>
      <c r="E110" t="s">
        <v>571</v>
      </c>
      <c r="F110" t="s">
        <v>682</v>
      </c>
      <c r="G110">
        <v>102548.34</v>
      </c>
      <c r="H110">
        <v>26</v>
      </c>
      <c r="I110">
        <v>11401.45</v>
      </c>
      <c r="J110" t="str">
        <f>TEXT(DATE(2024,Table1[[#This Row],[Month2]],1),"mmmm")</f>
        <v>October</v>
      </c>
      <c r="K110">
        <v>10</v>
      </c>
      <c r="L110">
        <v>2025</v>
      </c>
    </row>
    <row r="111" spans="1:12" x14ac:dyDescent="0.25">
      <c r="A111" t="s">
        <v>110</v>
      </c>
      <c r="B111" t="s">
        <v>358</v>
      </c>
      <c r="C111" t="s">
        <v>554</v>
      </c>
      <c r="D111" t="s">
        <v>561</v>
      </c>
      <c r="E111" t="s">
        <v>568</v>
      </c>
      <c r="F111" t="s">
        <v>683</v>
      </c>
      <c r="G111">
        <v>298780.45</v>
      </c>
      <c r="H111">
        <v>10</v>
      </c>
      <c r="I111">
        <v>45188.02</v>
      </c>
      <c r="J111" t="str">
        <f>TEXT(DATE(2024,Table1[[#This Row],[Month2]],1),"mmmm")</f>
        <v>March</v>
      </c>
      <c r="K111">
        <v>3</v>
      </c>
      <c r="L111">
        <v>2025</v>
      </c>
    </row>
    <row r="112" spans="1:12" x14ac:dyDescent="0.25">
      <c r="A112" t="s">
        <v>111</v>
      </c>
      <c r="B112" t="s">
        <v>359</v>
      </c>
      <c r="C112" t="s">
        <v>556</v>
      </c>
      <c r="D112" t="s">
        <v>561</v>
      </c>
      <c r="E112" t="s">
        <v>572</v>
      </c>
      <c r="F112" t="s">
        <v>684</v>
      </c>
      <c r="G112">
        <v>222549.26</v>
      </c>
      <c r="H112">
        <v>5</v>
      </c>
      <c r="I112">
        <v>20964.09</v>
      </c>
      <c r="J112" t="str">
        <f>TEXT(DATE(2024,Table1[[#This Row],[Month2]],1),"mmmm")</f>
        <v>July</v>
      </c>
      <c r="K112">
        <v>7</v>
      </c>
      <c r="L112">
        <v>2025</v>
      </c>
    </row>
    <row r="113" spans="1:12" x14ac:dyDescent="0.25">
      <c r="A113" t="s">
        <v>112</v>
      </c>
      <c r="B113" t="s">
        <v>360</v>
      </c>
      <c r="C113" t="s">
        <v>549</v>
      </c>
      <c r="D113" t="s">
        <v>559</v>
      </c>
      <c r="E113" t="s">
        <v>562</v>
      </c>
      <c r="F113" t="s">
        <v>685</v>
      </c>
      <c r="G113">
        <v>206677.71</v>
      </c>
      <c r="H113">
        <v>3</v>
      </c>
      <c r="I113">
        <v>31263.24</v>
      </c>
      <c r="J113" t="str">
        <f>TEXT(DATE(2024,Table1[[#This Row],[Month2]],1),"mmmm")</f>
        <v>November</v>
      </c>
      <c r="K113">
        <v>11</v>
      </c>
      <c r="L113">
        <v>2024</v>
      </c>
    </row>
    <row r="114" spans="1:12" x14ac:dyDescent="0.25">
      <c r="A114" t="s">
        <v>113</v>
      </c>
      <c r="B114" t="s">
        <v>361</v>
      </c>
      <c r="C114" t="s">
        <v>553</v>
      </c>
      <c r="D114" t="s">
        <v>561</v>
      </c>
      <c r="E114" t="s">
        <v>571</v>
      </c>
      <c r="F114" t="s">
        <v>686</v>
      </c>
      <c r="G114">
        <v>469486.65</v>
      </c>
      <c r="H114">
        <v>9</v>
      </c>
      <c r="I114">
        <v>53664.73</v>
      </c>
      <c r="J114" t="str">
        <f>TEXT(DATE(2024,Table1[[#This Row],[Month2]],1),"mmmm")</f>
        <v>June</v>
      </c>
      <c r="K114">
        <v>6</v>
      </c>
      <c r="L114">
        <v>2025</v>
      </c>
    </row>
    <row r="115" spans="1:12" x14ac:dyDescent="0.25">
      <c r="A115" t="s">
        <v>114</v>
      </c>
      <c r="B115" t="s">
        <v>362</v>
      </c>
      <c r="C115" t="s">
        <v>556</v>
      </c>
      <c r="D115" t="s">
        <v>559</v>
      </c>
      <c r="E115" t="s">
        <v>567</v>
      </c>
      <c r="F115" t="s">
        <v>687</v>
      </c>
      <c r="G115">
        <v>132615.29999999999</v>
      </c>
      <c r="H115">
        <v>4</v>
      </c>
      <c r="I115">
        <v>17986.87</v>
      </c>
      <c r="J115" t="str">
        <f>TEXT(DATE(2024,Table1[[#This Row],[Month2]],1),"mmmm")</f>
        <v>May</v>
      </c>
      <c r="K115">
        <v>5</v>
      </c>
      <c r="L115">
        <v>2024</v>
      </c>
    </row>
    <row r="116" spans="1:12" x14ac:dyDescent="0.25">
      <c r="A116" t="s">
        <v>84</v>
      </c>
      <c r="B116" t="s">
        <v>363</v>
      </c>
      <c r="C116" t="s">
        <v>549</v>
      </c>
      <c r="D116" t="s">
        <v>560</v>
      </c>
      <c r="E116" t="s">
        <v>564</v>
      </c>
      <c r="F116" t="s">
        <v>688</v>
      </c>
      <c r="G116">
        <v>328274.63</v>
      </c>
      <c r="H116">
        <v>12</v>
      </c>
      <c r="I116">
        <v>30740.51</v>
      </c>
      <c r="J116" t="str">
        <f>TEXT(DATE(2024,Table1[[#This Row],[Month2]],1),"mmmm")</f>
        <v>July</v>
      </c>
      <c r="K116">
        <v>7</v>
      </c>
      <c r="L116">
        <v>2025</v>
      </c>
    </row>
    <row r="117" spans="1:12" x14ac:dyDescent="0.25">
      <c r="A117" t="s">
        <v>115</v>
      </c>
      <c r="B117" t="s">
        <v>364</v>
      </c>
      <c r="C117" t="s">
        <v>553</v>
      </c>
      <c r="D117" t="s">
        <v>559</v>
      </c>
      <c r="E117" t="s">
        <v>562</v>
      </c>
      <c r="F117" t="s">
        <v>689</v>
      </c>
      <c r="G117">
        <v>369438.6</v>
      </c>
      <c r="H117">
        <v>39</v>
      </c>
      <c r="I117">
        <v>89104.14</v>
      </c>
      <c r="J117" t="str">
        <f>TEXT(DATE(2024,Table1[[#This Row],[Month2]],1),"mmmm")</f>
        <v>May</v>
      </c>
      <c r="K117">
        <v>5</v>
      </c>
      <c r="L117">
        <v>2025</v>
      </c>
    </row>
    <row r="118" spans="1:12" x14ac:dyDescent="0.25">
      <c r="A118" t="s">
        <v>116</v>
      </c>
      <c r="B118" t="s">
        <v>365</v>
      </c>
      <c r="C118" t="s">
        <v>556</v>
      </c>
      <c r="D118" t="s">
        <v>560</v>
      </c>
      <c r="E118" t="s">
        <v>569</v>
      </c>
      <c r="F118" t="s">
        <v>690</v>
      </c>
      <c r="G118">
        <v>451101.74</v>
      </c>
      <c r="H118">
        <v>29</v>
      </c>
      <c r="I118">
        <v>65752.75</v>
      </c>
      <c r="J118" t="str">
        <f>TEXT(DATE(2024,Table1[[#This Row],[Month2]],1),"mmmm")</f>
        <v>May</v>
      </c>
      <c r="K118">
        <v>5</v>
      </c>
      <c r="L118">
        <v>2024</v>
      </c>
    </row>
    <row r="119" spans="1:12" x14ac:dyDescent="0.25">
      <c r="A119" t="s">
        <v>117</v>
      </c>
      <c r="B119" t="s">
        <v>366</v>
      </c>
      <c r="C119" t="s">
        <v>549</v>
      </c>
      <c r="D119" t="s">
        <v>561</v>
      </c>
      <c r="E119" t="s">
        <v>571</v>
      </c>
      <c r="F119" t="s">
        <v>691</v>
      </c>
      <c r="G119">
        <v>303456.24</v>
      </c>
      <c r="H119">
        <v>49</v>
      </c>
      <c r="I119">
        <v>18927.509999999998</v>
      </c>
      <c r="J119" t="str">
        <f>TEXT(DATE(2024,Table1[[#This Row],[Month2]],1),"mmmm")</f>
        <v>November</v>
      </c>
      <c r="K119">
        <v>11</v>
      </c>
      <c r="L119">
        <v>2024</v>
      </c>
    </row>
    <row r="120" spans="1:12" x14ac:dyDescent="0.25">
      <c r="A120" t="s">
        <v>118</v>
      </c>
      <c r="B120" t="s">
        <v>367</v>
      </c>
      <c r="C120" t="s">
        <v>553</v>
      </c>
      <c r="D120" t="s">
        <v>559</v>
      </c>
      <c r="E120" t="s">
        <v>565</v>
      </c>
      <c r="F120" t="s">
        <v>692</v>
      </c>
      <c r="G120">
        <v>410928.13</v>
      </c>
      <c r="H120">
        <v>4</v>
      </c>
      <c r="I120">
        <v>75687.320000000007</v>
      </c>
      <c r="J120" t="str">
        <f>TEXT(DATE(2024,Table1[[#This Row],[Month2]],1),"mmmm")</f>
        <v>March</v>
      </c>
      <c r="K120">
        <v>3</v>
      </c>
      <c r="L120">
        <v>2024</v>
      </c>
    </row>
    <row r="121" spans="1:12" x14ac:dyDescent="0.25">
      <c r="A121" t="s">
        <v>119</v>
      </c>
      <c r="B121" t="s">
        <v>368</v>
      </c>
      <c r="C121" t="s">
        <v>553</v>
      </c>
      <c r="D121" t="s">
        <v>561</v>
      </c>
      <c r="E121" t="s">
        <v>572</v>
      </c>
      <c r="F121" t="s">
        <v>693</v>
      </c>
      <c r="G121">
        <v>209458.24</v>
      </c>
      <c r="H121">
        <v>41</v>
      </c>
      <c r="I121">
        <v>13617.67</v>
      </c>
      <c r="J121" t="str">
        <f>TEXT(DATE(2024,Table1[[#This Row],[Month2]],1),"mmmm")</f>
        <v>November</v>
      </c>
      <c r="K121">
        <v>11</v>
      </c>
      <c r="L121">
        <v>2025</v>
      </c>
    </row>
    <row r="122" spans="1:12" x14ac:dyDescent="0.25">
      <c r="A122" t="s">
        <v>120</v>
      </c>
      <c r="B122" t="s">
        <v>369</v>
      </c>
      <c r="C122" t="s">
        <v>558</v>
      </c>
      <c r="D122" t="s">
        <v>559</v>
      </c>
      <c r="E122" t="s">
        <v>567</v>
      </c>
      <c r="F122" t="s">
        <v>694</v>
      </c>
      <c r="G122">
        <v>6959.54</v>
      </c>
      <c r="H122">
        <v>37</v>
      </c>
      <c r="I122">
        <v>662.45</v>
      </c>
      <c r="J122" t="str">
        <f>TEXT(DATE(2024,Table1[[#This Row],[Month2]],1),"mmmm")</f>
        <v>October</v>
      </c>
      <c r="K122">
        <v>10</v>
      </c>
      <c r="L122">
        <v>2025</v>
      </c>
    </row>
    <row r="123" spans="1:12" x14ac:dyDescent="0.25">
      <c r="A123" t="s">
        <v>121</v>
      </c>
      <c r="B123" t="s">
        <v>370</v>
      </c>
      <c r="C123" t="s">
        <v>550</v>
      </c>
      <c r="D123" t="s">
        <v>561</v>
      </c>
      <c r="E123" t="s">
        <v>571</v>
      </c>
      <c r="F123" t="s">
        <v>695</v>
      </c>
      <c r="G123">
        <v>445447.64</v>
      </c>
      <c r="H123">
        <v>46</v>
      </c>
      <c r="I123">
        <v>62960.02</v>
      </c>
      <c r="J123" t="str">
        <f>TEXT(DATE(2024,Table1[[#This Row],[Month2]],1),"mmmm")</f>
        <v>August</v>
      </c>
      <c r="K123">
        <v>8</v>
      </c>
      <c r="L123">
        <v>2025</v>
      </c>
    </row>
    <row r="124" spans="1:12" x14ac:dyDescent="0.25">
      <c r="A124" t="s">
        <v>65</v>
      </c>
      <c r="B124" t="s">
        <v>371</v>
      </c>
      <c r="C124" t="s">
        <v>553</v>
      </c>
      <c r="D124" t="s">
        <v>561</v>
      </c>
      <c r="E124" t="s">
        <v>572</v>
      </c>
      <c r="F124" t="s">
        <v>696</v>
      </c>
      <c r="G124">
        <v>341933.41</v>
      </c>
      <c r="H124">
        <v>1</v>
      </c>
      <c r="I124">
        <v>75789.38</v>
      </c>
      <c r="J124" t="str">
        <f>TEXT(DATE(2024,Table1[[#This Row],[Month2]],1),"mmmm")</f>
        <v>December</v>
      </c>
      <c r="K124">
        <v>12</v>
      </c>
      <c r="L124">
        <v>2024</v>
      </c>
    </row>
    <row r="125" spans="1:12" x14ac:dyDescent="0.25">
      <c r="A125" t="s">
        <v>122</v>
      </c>
      <c r="B125" t="s">
        <v>372</v>
      </c>
      <c r="C125" t="s">
        <v>554</v>
      </c>
      <c r="D125" t="s">
        <v>559</v>
      </c>
      <c r="E125" t="s">
        <v>562</v>
      </c>
      <c r="F125" t="s">
        <v>697</v>
      </c>
      <c r="G125">
        <v>109790.78</v>
      </c>
      <c r="H125">
        <v>24</v>
      </c>
      <c r="I125">
        <v>7667.7</v>
      </c>
      <c r="J125" t="str">
        <f>TEXT(DATE(2024,Table1[[#This Row],[Month2]],1),"mmmm")</f>
        <v>May</v>
      </c>
      <c r="K125">
        <v>5</v>
      </c>
      <c r="L125">
        <v>2025</v>
      </c>
    </row>
    <row r="126" spans="1:12" x14ac:dyDescent="0.25">
      <c r="A126" t="s">
        <v>123</v>
      </c>
      <c r="B126" t="s">
        <v>373</v>
      </c>
      <c r="C126" t="s">
        <v>555</v>
      </c>
      <c r="D126" t="s">
        <v>560</v>
      </c>
      <c r="E126" t="s">
        <v>573</v>
      </c>
      <c r="F126" t="s">
        <v>698</v>
      </c>
      <c r="G126">
        <v>91819.57</v>
      </c>
      <c r="H126">
        <v>40</v>
      </c>
      <c r="I126">
        <v>19114.66</v>
      </c>
      <c r="J126" t="str">
        <f>TEXT(DATE(2024,Table1[[#This Row],[Month2]],1),"mmmm")</f>
        <v>October</v>
      </c>
      <c r="K126">
        <v>10</v>
      </c>
      <c r="L126">
        <v>2024</v>
      </c>
    </row>
    <row r="127" spans="1:12" x14ac:dyDescent="0.25">
      <c r="A127" t="s">
        <v>124</v>
      </c>
      <c r="B127" t="s">
        <v>374</v>
      </c>
      <c r="C127" t="s">
        <v>554</v>
      </c>
      <c r="D127" t="s">
        <v>559</v>
      </c>
      <c r="E127" t="s">
        <v>562</v>
      </c>
      <c r="F127" t="s">
        <v>699</v>
      </c>
      <c r="G127">
        <v>492768.01</v>
      </c>
      <c r="H127">
        <v>50</v>
      </c>
      <c r="I127">
        <v>114890.12</v>
      </c>
      <c r="J127" t="str">
        <f>TEXT(DATE(2024,Table1[[#This Row],[Month2]],1),"mmmm")</f>
        <v>October</v>
      </c>
      <c r="K127">
        <v>10</v>
      </c>
      <c r="L127">
        <v>2025</v>
      </c>
    </row>
    <row r="128" spans="1:12" x14ac:dyDescent="0.25">
      <c r="A128" t="s">
        <v>125</v>
      </c>
      <c r="B128" t="s">
        <v>375</v>
      </c>
      <c r="C128" t="s">
        <v>552</v>
      </c>
      <c r="D128" t="s">
        <v>561</v>
      </c>
      <c r="E128" t="s">
        <v>571</v>
      </c>
      <c r="F128" t="s">
        <v>700</v>
      </c>
      <c r="G128">
        <v>203539.62</v>
      </c>
      <c r="H128">
        <v>35</v>
      </c>
      <c r="I128">
        <v>18959.84</v>
      </c>
      <c r="J128" t="str">
        <f>TEXT(DATE(2024,Table1[[#This Row],[Month2]],1),"mmmm")</f>
        <v>June</v>
      </c>
      <c r="K128">
        <v>6</v>
      </c>
      <c r="L128">
        <v>2024</v>
      </c>
    </row>
    <row r="129" spans="1:12" x14ac:dyDescent="0.25">
      <c r="A129" t="s">
        <v>126</v>
      </c>
      <c r="B129" t="s">
        <v>376</v>
      </c>
      <c r="C129" t="s">
        <v>558</v>
      </c>
      <c r="D129" t="s">
        <v>561</v>
      </c>
      <c r="E129" t="s">
        <v>572</v>
      </c>
      <c r="F129" t="s">
        <v>701</v>
      </c>
      <c r="G129">
        <v>437132</v>
      </c>
      <c r="H129">
        <v>40</v>
      </c>
      <c r="I129">
        <v>32670.07</v>
      </c>
      <c r="J129" t="str">
        <f>TEXT(DATE(2024,Table1[[#This Row],[Month2]],1),"mmmm")</f>
        <v>June</v>
      </c>
      <c r="K129">
        <v>6</v>
      </c>
      <c r="L129">
        <v>2024</v>
      </c>
    </row>
    <row r="130" spans="1:12" x14ac:dyDescent="0.25">
      <c r="A130" t="s">
        <v>53</v>
      </c>
      <c r="B130" t="s">
        <v>377</v>
      </c>
      <c r="C130" t="s">
        <v>551</v>
      </c>
      <c r="D130" t="s">
        <v>560</v>
      </c>
      <c r="E130" t="s">
        <v>566</v>
      </c>
      <c r="F130" t="s">
        <v>702</v>
      </c>
      <c r="G130">
        <v>297600.15999999997</v>
      </c>
      <c r="H130">
        <v>22</v>
      </c>
      <c r="I130">
        <v>69279.41</v>
      </c>
      <c r="J130" t="str">
        <f>TEXT(DATE(2024,Table1[[#This Row],[Month2]],1),"mmmm")</f>
        <v>May</v>
      </c>
      <c r="K130">
        <v>5</v>
      </c>
      <c r="L130">
        <v>2025</v>
      </c>
    </row>
    <row r="131" spans="1:12" x14ac:dyDescent="0.25">
      <c r="A131" t="s">
        <v>127</v>
      </c>
      <c r="B131" t="s">
        <v>378</v>
      </c>
      <c r="C131" t="s">
        <v>551</v>
      </c>
      <c r="D131" t="s">
        <v>559</v>
      </c>
      <c r="E131" t="s">
        <v>562</v>
      </c>
      <c r="F131" t="s">
        <v>703</v>
      </c>
      <c r="G131">
        <v>350248.26</v>
      </c>
      <c r="H131">
        <v>4</v>
      </c>
      <c r="I131">
        <v>50103.26</v>
      </c>
      <c r="J131" t="str">
        <f>TEXT(DATE(2024,Table1[[#This Row],[Month2]],1),"mmmm")</f>
        <v>December</v>
      </c>
      <c r="K131">
        <v>12</v>
      </c>
      <c r="L131">
        <v>2024</v>
      </c>
    </row>
    <row r="132" spans="1:12" x14ac:dyDescent="0.25">
      <c r="A132" t="s">
        <v>128</v>
      </c>
      <c r="B132" t="s">
        <v>379</v>
      </c>
      <c r="C132" t="s">
        <v>551</v>
      </c>
      <c r="D132" t="s">
        <v>560</v>
      </c>
      <c r="E132" t="s">
        <v>573</v>
      </c>
      <c r="F132" t="s">
        <v>704</v>
      </c>
      <c r="G132">
        <v>378716.3</v>
      </c>
      <c r="H132">
        <v>42</v>
      </c>
      <c r="I132">
        <v>79247.22</v>
      </c>
      <c r="J132" t="str">
        <f>TEXT(DATE(2024,Table1[[#This Row],[Month2]],1),"mmmm")</f>
        <v>April</v>
      </c>
      <c r="K132">
        <v>4</v>
      </c>
      <c r="L132">
        <v>2024</v>
      </c>
    </row>
    <row r="133" spans="1:12" x14ac:dyDescent="0.25">
      <c r="A133" t="s">
        <v>129</v>
      </c>
      <c r="B133" t="s">
        <v>380</v>
      </c>
      <c r="C133" t="s">
        <v>556</v>
      </c>
      <c r="D133" t="s">
        <v>561</v>
      </c>
      <c r="E133" t="s">
        <v>572</v>
      </c>
      <c r="F133" t="s">
        <v>705</v>
      </c>
      <c r="G133">
        <v>497016.7</v>
      </c>
      <c r="H133">
        <v>20</v>
      </c>
      <c r="I133">
        <v>101268.23</v>
      </c>
      <c r="J133" t="str">
        <f>TEXT(DATE(2024,Table1[[#This Row],[Month2]],1),"mmmm")</f>
        <v>August</v>
      </c>
      <c r="K133">
        <v>8</v>
      </c>
      <c r="L133">
        <v>2025</v>
      </c>
    </row>
    <row r="134" spans="1:12" x14ac:dyDescent="0.25">
      <c r="A134" t="s">
        <v>130</v>
      </c>
      <c r="B134" t="s">
        <v>381</v>
      </c>
      <c r="C134" t="s">
        <v>558</v>
      </c>
      <c r="D134" t="s">
        <v>559</v>
      </c>
      <c r="E134" t="s">
        <v>565</v>
      </c>
      <c r="F134" t="s">
        <v>706</v>
      </c>
      <c r="G134">
        <v>50445.06</v>
      </c>
      <c r="H134">
        <v>42</v>
      </c>
      <c r="I134">
        <v>8857.2999999999993</v>
      </c>
      <c r="J134" t="str">
        <f>TEXT(DATE(2024,Table1[[#This Row],[Month2]],1),"mmmm")</f>
        <v>May</v>
      </c>
      <c r="K134">
        <v>5</v>
      </c>
      <c r="L134">
        <v>2025</v>
      </c>
    </row>
    <row r="135" spans="1:12" x14ac:dyDescent="0.25">
      <c r="A135" t="s">
        <v>131</v>
      </c>
      <c r="B135" t="s">
        <v>382</v>
      </c>
      <c r="C135" t="s">
        <v>551</v>
      </c>
      <c r="D135" t="s">
        <v>559</v>
      </c>
      <c r="E135" t="s">
        <v>562</v>
      </c>
      <c r="F135" t="s">
        <v>707</v>
      </c>
      <c r="G135">
        <v>282273.18</v>
      </c>
      <c r="H135">
        <v>39</v>
      </c>
      <c r="I135">
        <v>36619.449999999997</v>
      </c>
      <c r="J135" t="str">
        <f>TEXT(DATE(2024,Table1[[#This Row],[Month2]],1),"mmmm")</f>
        <v>December</v>
      </c>
      <c r="K135">
        <v>12</v>
      </c>
      <c r="L135">
        <v>2025</v>
      </c>
    </row>
    <row r="136" spans="1:12" x14ac:dyDescent="0.25">
      <c r="A136" t="s">
        <v>132</v>
      </c>
      <c r="B136" t="s">
        <v>383</v>
      </c>
      <c r="C136" t="s">
        <v>554</v>
      </c>
      <c r="D136" t="s">
        <v>559</v>
      </c>
      <c r="E136" t="s">
        <v>563</v>
      </c>
      <c r="F136" t="s">
        <v>708</v>
      </c>
      <c r="G136">
        <v>172098.08</v>
      </c>
      <c r="H136">
        <v>48</v>
      </c>
      <c r="I136">
        <v>14127.35</v>
      </c>
      <c r="J136" t="str">
        <f>TEXT(DATE(2024,Table1[[#This Row],[Month2]],1),"mmmm")</f>
        <v>January</v>
      </c>
      <c r="K136">
        <v>1</v>
      </c>
      <c r="L136">
        <v>2024</v>
      </c>
    </row>
    <row r="137" spans="1:12" x14ac:dyDescent="0.25">
      <c r="A137" t="s">
        <v>133</v>
      </c>
      <c r="B137" t="s">
        <v>384</v>
      </c>
      <c r="C137" t="s">
        <v>552</v>
      </c>
      <c r="D137" t="s">
        <v>560</v>
      </c>
      <c r="E137" t="s">
        <v>564</v>
      </c>
      <c r="F137" t="s">
        <v>709</v>
      </c>
      <c r="G137">
        <v>466862.89</v>
      </c>
      <c r="H137">
        <v>17</v>
      </c>
      <c r="I137">
        <v>87377.22</v>
      </c>
      <c r="J137" t="str">
        <f>TEXT(DATE(2024,Table1[[#This Row],[Month2]],1),"mmmm")</f>
        <v>January</v>
      </c>
      <c r="K137">
        <v>1</v>
      </c>
      <c r="L137">
        <v>2025</v>
      </c>
    </row>
    <row r="138" spans="1:12" x14ac:dyDescent="0.25">
      <c r="A138" t="s">
        <v>134</v>
      </c>
      <c r="B138" t="s">
        <v>385</v>
      </c>
      <c r="C138" t="s">
        <v>549</v>
      </c>
      <c r="D138" t="s">
        <v>559</v>
      </c>
      <c r="E138" t="s">
        <v>567</v>
      </c>
      <c r="F138" t="s">
        <v>710</v>
      </c>
      <c r="G138">
        <v>337214.25</v>
      </c>
      <c r="H138">
        <v>46</v>
      </c>
      <c r="I138">
        <v>74451.179999999993</v>
      </c>
      <c r="J138" t="str">
        <f>TEXT(DATE(2024,Table1[[#This Row],[Month2]],1),"mmmm")</f>
        <v>December</v>
      </c>
      <c r="K138">
        <v>12</v>
      </c>
      <c r="L138">
        <v>2025</v>
      </c>
    </row>
    <row r="139" spans="1:12" x14ac:dyDescent="0.25">
      <c r="A139" t="s">
        <v>135</v>
      </c>
      <c r="B139" t="s">
        <v>386</v>
      </c>
      <c r="C139" t="s">
        <v>549</v>
      </c>
      <c r="D139" t="s">
        <v>560</v>
      </c>
      <c r="E139" t="s">
        <v>573</v>
      </c>
      <c r="F139" t="s">
        <v>711</v>
      </c>
      <c r="G139">
        <v>43040.08</v>
      </c>
      <c r="H139">
        <v>32</v>
      </c>
      <c r="I139">
        <v>6140.68</v>
      </c>
      <c r="J139" t="str">
        <f>TEXT(DATE(2024,Table1[[#This Row],[Month2]],1),"mmmm")</f>
        <v>November</v>
      </c>
      <c r="K139">
        <v>11</v>
      </c>
      <c r="L139">
        <v>2024</v>
      </c>
    </row>
    <row r="140" spans="1:12" x14ac:dyDescent="0.25">
      <c r="A140" t="s">
        <v>136</v>
      </c>
      <c r="B140" t="s">
        <v>387</v>
      </c>
      <c r="C140" t="s">
        <v>557</v>
      </c>
      <c r="D140" t="s">
        <v>559</v>
      </c>
      <c r="E140" t="s">
        <v>563</v>
      </c>
      <c r="F140" t="s">
        <v>712</v>
      </c>
      <c r="G140">
        <v>440162.58</v>
      </c>
      <c r="H140">
        <v>18</v>
      </c>
      <c r="I140">
        <v>72550.84</v>
      </c>
      <c r="J140" t="str">
        <f>TEXT(DATE(2024,Table1[[#This Row],[Month2]],1),"mmmm")</f>
        <v>August</v>
      </c>
      <c r="K140">
        <v>8</v>
      </c>
      <c r="L140">
        <v>2025</v>
      </c>
    </row>
    <row r="141" spans="1:12" x14ac:dyDescent="0.25">
      <c r="A141" t="s">
        <v>137</v>
      </c>
      <c r="B141" t="s">
        <v>388</v>
      </c>
      <c r="C141" t="s">
        <v>552</v>
      </c>
      <c r="D141" t="s">
        <v>560</v>
      </c>
      <c r="E141" t="s">
        <v>564</v>
      </c>
      <c r="F141" t="s">
        <v>713</v>
      </c>
      <c r="G141">
        <v>225138.98</v>
      </c>
      <c r="H141">
        <v>26</v>
      </c>
      <c r="I141">
        <v>49857.87</v>
      </c>
      <c r="J141" t="str">
        <f>TEXT(DATE(2024,Table1[[#This Row],[Month2]],1),"mmmm")</f>
        <v>April</v>
      </c>
      <c r="K141">
        <v>4</v>
      </c>
      <c r="L141">
        <v>2024</v>
      </c>
    </row>
    <row r="142" spans="1:12" x14ac:dyDescent="0.25">
      <c r="A142" t="s">
        <v>138</v>
      </c>
      <c r="B142" t="s">
        <v>389</v>
      </c>
      <c r="C142" t="s">
        <v>553</v>
      </c>
      <c r="D142" t="s">
        <v>560</v>
      </c>
      <c r="E142" t="s">
        <v>566</v>
      </c>
      <c r="F142" t="s">
        <v>714</v>
      </c>
      <c r="G142">
        <v>239158.32</v>
      </c>
      <c r="H142">
        <v>29</v>
      </c>
      <c r="I142">
        <v>51279.27</v>
      </c>
      <c r="J142" t="str">
        <f>TEXT(DATE(2024,Table1[[#This Row],[Month2]],1),"mmmm")</f>
        <v>January</v>
      </c>
      <c r="K142">
        <v>1</v>
      </c>
      <c r="L142">
        <v>2025</v>
      </c>
    </row>
    <row r="143" spans="1:12" x14ac:dyDescent="0.25">
      <c r="A143" t="s">
        <v>139</v>
      </c>
      <c r="B143" t="s">
        <v>390</v>
      </c>
      <c r="C143" t="s">
        <v>550</v>
      </c>
      <c r="D143" t="s">
        <v>559</v>
      </c>
      <c r="E143" t="s">
        <v>562</v>
      </c>
      <c r="F143" t="s">
        <v>715</v>
      </c>
      <c r="G143">
        <v>192192.33</v>
      </c>
      <c r="H143">
        <v>41</v>
      </c>
      <c r="I143">
        <v>19041.27</v>
      </c>
      <c r="J143" t="str">
        <f>TEXT(DATE(2024,Table1[[#This Row],[Month2]],1),"mmmm")</f>
        <v>October</v>
      </c>
      <c r="K143">
        <v>10</v>
      </c>
      <c r="L143">
        <v>2025</v>
      </c>
    </row>
    <row r="144" spans="1:12" x14ac:dyDescent="0.25">
      <c r="A144" t="s">
        <v>140</v>
      </c>
      <c r="B144" t="s">
        <v>391</v>
      </c>
      <c r="C144" t="s">
        <v>558</v>
      </c>
      <c r="D144" t="s">
        <v>559</v>
      </c>
      <c r="E144" t="s">
        <v>565</v>
      </c>
      <c r="F144" t="s">
        <v>716</v>
      </c>
      <c r="G144">
        <v>86851.81</v>
      </c>
      <c r="H144">
        <v>27</v>
      </c>
      <c r="I144">
        <v>12332.04</v>
      </c>
      <c r="J144" t="str">
        <f>TEXT(DATE(2024,Table1[[#This Row],[Month2]],1),"mmmm")</f>
        <v>March</v>
      </c>
      <c r="K144">
        <v>3</v>
      </c>
      <c r="L144">
        <v>2024</v>
      </c>
    </row>
    <row r="145" spans="1:12" x14ac:dyDescent="0.25">
      <c r="A145" t="s">
        <v>141</v>
      </c>
      <c r="B145" t="s">
        <v>392</v>
      </c>
      <c r="C145" t="s">
        <v>551</v>
      </c>
      <c r="D145" t="s">
        <v>561</v>
      </c>
      <c r="E145" t="s">
        <v>571</v>
      </c>
      <c r="F145" t="s">
        <v>717</v>
      </c>
      <c r="G145">
        <v>60418.6</v>
      </c>
      <c r="H145">
        <v>25</v>
      </c>
      <c r="I145">
        <v>6481.04</v>
      </c>
      <c r="J145" t="str">
        <f>TEXT(DATE(2024,Table1[[#This Row],[Month2]],1),"mmmm")</f>
        <v>July</v>
      </c>
      <c r="K145">
        <v>7</v>
      </c>
      <c r="L145">
        <v>2024</v>
      </c>
    </row>
    <row r="146" spans="1:12" x14ac:dyDescent="0.25">
      <c r="A146" t="s">
        <v>142</v>
      </c>
      <c r="B146" t="s">
        <v>393</v>
      </c>
      <c r="C146" t="s">
        <v>552</v>
      </c>
      <c r="D146" t="s">
        <v>559</v>
      </c>
      <c r="E146" t="s">
        <v>563</v>
      </c>
      <c r="F146" t="s">
        <v>718</v>
      </c>
      <c r="G146">
        <v>131667.26</v>
      </c>
      <c r="H146">
        <v>6</v>
      </c>
      <c r="I146">
        <v>19893.23</v>
      </c>
      <c r="J146" t="str">
        <f>TEXT(DATE(2024,Table1[[#This Row],[Month2]],1),"mmmm")</f>
        <v>July</v>
      </c>
      <c r="K146">
        <v>7</v>
      </c>
      <c r="L146">
        <v>2024</v>
      </c>
    </row>
    <row r="147" spans="1:12" x14ac:dyDescent="0.25">
      <c r="A147" t="s">
        <v>143</v>
      </c>
      <c r="B147" t="s">
        <v>394</v>
      </c>
      <c r="C147" t="s">
        <v>551</v>
      </c>
      <c r="D147" t="s">
        <v>560</v>
      </c>
      <c r="E147" t="s">
        <v>569</v>
      </c>
      <c r="F147" t="s">
        <v>719</v>
      </c>
      <c r="G147">
        <v>132452.4</v>
      </c>
      <c r="H147">
        <v>8</v>
      </c>
      <c r="I147">
        <v>31383.99</v>
      </c>
      <c r="J147" t="str">
        <f>TEXT(DATE(2024,Table1[[#This Row],[Month2]],1),"mmmm")</f>
        <v>September</v>
      </c>
      <c r="K147">
        <v>9</v>
      </c>
      <c r="L147">
        <v>2024</v>
      </c>
    </row>
    <row r="148" spans="1:12" x14ac:dyDescent="0.25">
      <c r="A148" t="s">
        <v>144</v>
      </c>
      <c r="B148" t="s">
        <v>395</v>
      </c>
      <c r="C148" t="s">
        <v>554</v>
      </c>
      <c r="D148" t="s">
        <v>559</v>
      </c>
      <c r="E148" t="s">
        <v>565</v>
      </c>
      <c r="F148" t="s">
        <v>720</v>
      </c>
      <c r="G148">
        <v>465816.62</v>
      </c>
      <c r="H148">
        <v>23</v>
      </c>
      <c r="I148">
        <v>80791.03</v>
      </c>
      <c r="J148" t="str">
        <f>TEXT(DATE(2024,Table1[[#This Row],[Month2]],1),"mmmm")</f>
        <v>July</v>
      </c>
      <c r="K148">
        <v>7</v>
      </c>
      <c r="L148">
        <v>2024</v>
      </c>
    </row>
    <row r="149" spans="1:12" x14ac:dyDescent="0.25">
      <c r="A149" t="s">
        <v>145</v>
      </c>
      <c r="B149" t="s">
        <v>396</v>
      </c>
      <c r="C149" t="s">
        <v>549</v>
      </c>
      <c r="D149" t="s">
        <v>560</v>
      </c>
      <c r="E149" t="s">
        <v>573</v>
      </c>
      <c r="F149" t="s">
        <v>721</v>
      </c>
      <c r="G149">
        <v>137573.81</v>
      </c>
      <c r="H149">
        <v>14</v>
      </c>
      <c r="I149">
        <v>32742.14</v>
      </c>
      <c r="J149" t="str">
        <f>TEXT(DATE(2024,Table1[[#This Row],[Month2]],1),"mmmm")</f>
        <v>January</v>
      </c>
      <c r="K149">
        <v>1</v>
      </c>
      <c r="L149">
        <v>2024</v>
      </c>
    </row>
    <row r="150" spans="1:12" x14ac:dyDescent="0.25">
      <c r="A150" t="s">
        <v>50</v>
      </c>
      <c r="B150" t="s">
        <v>397</v>
      </c>
      <c r="C150" t="s">
        <v>558</v>
      </c>
      <c r="D150" t="s">
        <v>560</v>
      </c>
      <c r="E150" t="s">
        <v>564</v>
      </c>
      <c r="F150" t="s">
        <v>722</v>
      </c>
      <c r="G150">
        <v>168829.09</v>
      </c>
      <c r="H150">
        <v>14</v>
      </c>
      <c r="I150">
        <v>35323.17</v>
      </c>
      <c r="J150" t="str">
        <f>TEXT(DATE(2024,Table1[[#This Row],[Month2]],1),"mmmm")</f>
        <v>September</v>
      </c>
      <c r="K150">
        <v>9</v>
      </c>
      <c r="L150">
        <v>2025</v>
      </c>
    </row>
    <row r="151" spans="1:12" x14ac:dyDescent="0.25">
      <c r="A151" t="s">
        <v>146</v>
      </c>
      <c r="B151" t="s">
        <v>398</v>
      </c>
      <c r="C151" t="s">
        <v>551</v>
      </c>
      <c r="D151" t="s">
        <v>560</v>
      </c>
      <c r="E151" t="s">
        <v>573</v>
      </c>
      <c r="F151" t="s">
        <v>723</v>
      </c>
      <c r="G151">
        <v>9231.93</v>
      </c>
      <c r="H151">
        <v>37</v>
      </c>
      <c r="I151">
        <v>1381.92</v>
      </c>
      <c r="J151" t="str">
        <f>TEXT(DATE(2024,Table1[[#This Row],[Month2]],1),"mmmm")</f>
        <v>October</v>
      </c>
      <c r="K151">
        <v>10</v>
      </c>
      <c r="L151">
        <v>2024</v>
      </c>
    </row>
    <row r="152" spans="1:12" x14ac:dyDescent="0.25">
      <c r="A152" t="s">
        <v>147</v>
      </c>
      <c r="B152" t="s">
        <v>399</v>
      </c>
      <c r="C152" t="s">
        <v>550</v>
      </c>
      <c r="D152" t="s">
        <v>559</v>
      </c>
      <c r="E152" t="s">
        <v>567</v>
      </c>
      <c r="F152" t="s">
        <v>724</v>
      </c>
      <c r="G152">
        <v>319281.33</v>
      </c>
      <c r="H152">
        <v>1</v>
      </c>
      <c r="I152">
        <v>17448</v>
      </c>
      <c r="J152" t="str">
        <f>TEXT(DATE(2024,Table1[[#This Row],[Month2]],1),"mmmm")</f>
        <v>September</v>
      </c>
      <c r="K152">
        <v>9</v>
      </c>
      <c r="L152">
        <v>2025</v>
      </c>
    </row>
    <row r="153" spans="1:12" x14ac:dyDescent="0.25">
      <c r="A153" t="s">
        <v>148</v>
      </c>
      <c r="B153" t="s">
        <v>400</v>
      </c>
      <c r="C153" t="s">
        <v>550</v>
      </c>
      <c r="D153" t="s">
        <v>561</v>
      </c>
      <c r="E153" t="s">
        <v>568</v>
      </c>
      <c r="F153" t="s">
        <v>725</v>
      </c>
      <c r="G153">
        <v>63028.51</v>
      </c>
      <c r="H153">
        <v>46</v>
      </c>
      <c r="I153">
        <v>9235.09</v>
      </c>
      <c r="J153" t="str">
        <f>TEXT(DATE(2024,Table1[[#This Row],[Month2]],1),"mmmm")</f>
        <v>October</v>
      </c>
      <c r="K153">
        <v>10</v>
      </c>
      <c r="L153">
        <v>2024</v>
      </c>
    </row>
    <row r="154" spans="1:12" x14ac:dyDescent="0.25">
      <c r="A154" t="s">
        <v>43</v>
      </c>
      <c r="B154" t="s">
        <v>401</v>
      </c>
      <c r="C154" t="s">
        <v>556</v>
      </c>
      <c r="D154" t="s">
        <v>560</v>
      </c>
      <c r="E154" t="s">
        <v>564</v>
      </c>
      <c r="F154" t="s">
        <v>726</v>
      </c>
      <c r="G154">
        <v>268023.26</v>
      </c>
      <c r="H154">
        <v>44</v>
      </c>
      <c r="I154">
        <v>55264.65</v>
      </c>
      <c r="J154" t="str">
        <f>TEXT(DATE(2024,Table1[[#This Row],[Month2]],1),"mmmm")</f>
        <v>June</v>
      </c>
      <c r="K154">
        <v>6</v>
      </c>
      <c r="L154">
        <v>2024</v>
      </c>
    </row>
    <row r="155" spans="1:12" x14ac:dyDescent="0.25">
      <c r="A155" t="s">
        <v>149</v>
      </c>
      <c r="B155" t="s">
        <v>402</v>
      </c>
      <c r="C155" t="s">
        <v>551</v>
      </c>
      <c r="D155" t="s">
        <v>561</v>
      </c>
      <c r="E155" t="s">
        <v>571</v>
      </c>
      <c r="F155" t="s">
        <v>727</v>
      </c>
      <c r="G155">
        <v>307382.33</v>
      </c>
      <c r="H155">
        <v>32</v>
      </c>
      <c r="I155">
        <v>20723.05</v>
      </c>
      <c r="J155" t="str">
        <f>TEXT(DATE(2024,Table1[[#This Row],[Month2]],1),"mmmm")</f>
        <v>October</v>
      </c>
      <c r="K155">
        <v>10</v>
      </c>
      <c r="L155">
        <v>2024</v>
      </c>
    </row>
    <row r="156" spans="1:12" x14ac:dyDescent="0.25">
      <c r="A156" t="s">
        <v>150</v>
      </c>
      <c r="B156" t="s">
        <v>403</v>
      </c>
      <c r="C156" t="s">
        <v>557</v>
      </c>
      <c r="D156" t="s">
        <v>560</v>
      </c>
      <c r="E156" t="s">
        <v>564</v>
      </c>
      <c r="F156" t="s">
        <v>728</v>
      </c>
      <c r="G156">
        <v>310736.51</v>
      </c>
      <c r="H156">
        <v>20</v>
      </c>
      <c r="I156">
        <v>33531.82</v>
      </c>
      <c r="J156" t="str">
        <f>TEXT(DATE(2024,Table1[[#This Row],[Month2]],1),"mmmm")</f>
        <v>February</v>
      </c>
      <c r="K156">
        <v>2</v>
      </c>
      <c r="L156">
        <v>2025</v>
      </c>
    </row>
    <row r="157" spans="1:12" x14ac:dyDescent="0.25">
      <c r="A157" t="s">
        <v>151</v>
      </c>
      <c r="B157" t="s">
        <v>404</v>
      </c>
      <c r="C157" t="s">
        <v>554</v>
      </c>
      <c r="D157" t="s">
        <v>561</v>
      </c>
      <c r="E157" t="s">
        <v>572</v>
      </c>
      <c r="F157" t="s">
        <v>729</v>
      </c>
      <c r="G157">
        <v>288588.89</v>
      </c>
      <c r="H157">
        <v>3</v>
      </c>
      <c r="I157">
        <v>68317.320000000007</v>
      </c>
      <c r="J157" t="str">
        <f>TEXT(DATE(2024,Table1[[#This Row],[Month2]],1),"mmmm")</f>
        <v>March</v>
      </c>
      <c r="K157">
        <v>3</v>
      </c>
      <c r="L157">
        <v>2024</v>
      </c>
    </row>
    <row r="158" spans="1:12" x14ac:dyDescent="0.25">
      <c r="A158" t="s">
        <v>152</v>
      </c>
      <c r="B158" t="s">
        <v>405</v>
      </c>
      <c r="C158" t="s">
        <v>551</v>
      </c>
      <c r="D158" t="s">
        <v>559</v>
      </c>
      <c r="E158" t="s">
        <v>563</v>
      </c>
      <c r="F158" t="s">
        <v>730</v>
      </c>
      <c r="G158">
        <v>396390.54</v>
      </c>
      <c r="H158">
        <v>28</v>
      </c>
      <c r="I158">
        <v>94983.7</v>
      </c>
      <c r="J158" t="str">
        <f>TEXT(DATE(2024,Table1[[#This Row],[Month2]],1),"mmmm")</f>
        <v>October</v>
      </c>
      <c r="K158">
        <v>10</v>
      </c>
      <c r="L158">
        <v>2025</v>
      </c>
    </row>
    <row r="159" spans="1:12" x14ac:dyDescent="0.25">
      <c r="A159" t="s">
        <v>122</v>
      </c>
      <c r="B159" t="s">
        <v>406</v>
      </c>
      <c r="C159" t="s">
        <v>556</v>
      </c>
      <c r="D159" t="s">
        <v>561</v>
      </c>
      <c r="E159" t="s">
        <v>571</v>
      </c>
      <c r="F159" t="s">
        <v>731</v>
      </c>
      <c r="G159">
        <v>55056.05</v>
      </c>
      <c r="H159">
        <v>40</v>
      </c>
      <c r="I159">
        <v>8748.7900000000009</v>
      </c>
      <c r="J159" t="str">
        <f>TEXT(DATE(2024,Table1[[#This Row],[Month2]],1),"mmmm")</f>
        <v>May</v>
      </c>
      <c r="K159">
        <v>5</v>
      </c>
      <c r="L159">
        <v>2025</v>
      </c>
    </row>
    <row r="160" spans="1:12" x14ac:dyDescent="0.25">
      <c r="A160" t="s">
        <v>153</v>
      </c>
      <c r="B160" t="s">
        <v>407</v>
      </c>
      <c r="C160" t="s">
        <v>549</v>
      </c>
      <c r="D160" t="s">
        <v>559</v>
      </c>
      <c r="E160" t="s">
        <v>567</v>
      </c>
      <c r="F160" t="s">
        <v>732</v>
      </c>
      <c r="G160">
        <v>172555.17</v>
      </c>
      <c r="H160">
        <v>46</v>
      </c>
      <c r="I160">
        <v>30805.82</v>
      </c>
      <c r="J160" t="str">
        <f>TEXT(DATE(2024,Table1[[#This Row],[Month2]],1),"mmmm")</f>
        <v>March</v>
      </c>
      <c r="K160">
        <v>3</v>
      </c>
      <c r="L160">
        <v>2024</v>
      </c>
    </row>
    <row r="161" spans="1:12" x14ac:dyDescent="0.25">
      <c r="A161" t="s">
        <v>154</v>
      </c>
      <c r="B161" t="s">
        <v>408</v>
      </c>
      <c r="C161" t="s">
        <v>556</v>
      </c>
      <c r="D161" t="s">
        <v>560</v>
      </c>
      <c r="E161" t="s">
        <v>573</v>
      </c>
      <c r="F161" t="s">
        <v>733</v>
      </c>
      <c r="G161">
        <v>131641.28</v>
      </c>
      <c r="H161">
        <v>47</v>
      </c>
      <c r="I161">
        <v>13187.01</v>
      </c>
      <c r="J161" t="str">
        <f>TEXT(DATE(2024,Table1[[#This Row],[Month2]],1),"mmmm")</f>
        <v>February</v>
      </c>
      <c r="K161">
        <v>2</v>
      </c>
      <c r="L161">
        <v>2024</v>
      </c>
    </row>
    <row r="162" spans="1:12" x14ac:dyDescent="0.25">
      <c r="A162" t="s">
        <v>155</v>
      </c>
      <c r="B162" t="s">
        <v>409</v>
      </c>
      <c r="C162" t="s">
        <v>550</v>
      </c>
      <c r="D162" t="s">
        <v>559</v>
      </c>
      <c r="E162" t="s">
        <v>567</v>
      </c>
      <c r="F162" t="s">
        <v>734</v>
      </c>
      <c r="G162">
        <v>31047.79</v>
      </c>
      <c r="H162">
        <v>4</v>
      </c>
      <c r="I162">
        <v>6314.46</v>
      </c>
      <c r="J162" t="str">
        <f>TEXT(DATE(2024,Table1[[#This Row],[Month2]],1),"mmmm")</f>
        <v>January</v>
      </c>
      <c r="K162">
        <v>1</v>
      </c>
      <c r="L162">
        <v>2024</v>
      </c>
    </row>
    <row r="163" spans="1:12" x14ac:dyDescent="0.25">
      <c r="A163" t="s">
        <v>121</v>
      </c>
      <c r="B163" t="s">
        <v>410</v>
      </c>
      <c r="C163" t="s">
        <v>556</v>
      </c>
      <c r="D163" t="s">
        <v>559</v>
      </c>
      <c r="E163" t="s">
        <v>565</v>
      </c>
      <c r="F163" t="s">
        <v>735</v>
      </c>
      <c r="G163">
        <v>313728.87</v>
      </c>
      <c r="H163">
        <v>4</v>
      </c>
      <c r="I163">
        <v>64937.74</v>
      </c>
      <c r="J163" t="str">
        <f>TEXT(DATE(2024,Table1[[#This Row],[Month2]],1),"mmmm")</f>
        <v>August</v>
      </c>
      <c r="K163">
        <v>8</v>
      </c>
      <c r="L163">
        <v>2025</v>
      </c>
    </row>
    <row r="164" spans="1:12" x14ac:dyDescent="0.25">
      <c r="A164" t="s">
        <v>156</v>
      </c>
      <c r="B164" t="s">
        <v>411</v>
      </c>
      <c r="C164" t="s">
        <v>556</v>
      </c>
      <c r="D164" t="s">
        <v>561</v>
      </c>
      <c r="E164" t="s">
        <v>570</v>
      </c>
      <c r="F164" t="s">
        <v>736</v>
      </c>
      <c r="G164">
        <v>305280.01</v>
      </c>
      <c r="H164">
        <v>47</v>
      </c>
      <c r="I164">
        <v>61915.7</v>
      </c>
      <c r="J164" t="str">
        <f>TEXT(DATE(2024,Table1[[#This Row],[Month2]],1),"mmmm")</f>
        <v>January</v>
      </c>
      <c r="K164">
        <v>1</v>
      </c>
      <c r="L164">
        <v>2024</v>
      </c>
    </row>
    <row r="165" spans="1:12" x14ac:dyDescent="0.25">
      <c r="A165" t="s">
        <v>51</v>
      </c>
      <c r="B165" t="s">
        <v>412</v>
      </c>
      <c r="C165" t="s">
        <v>551</v>
      </c>
      <c r="D165" t="s">
        <v>560</v>
      </c>
      <c r="E165" t="s">
        <v>564</v>
      </c>
      <c r="F165" t="s">
        <v>737</v>
      </c>
      <c r="G165">
        <v>353162.29</v>
      </c>
      <c r="H165">
        <v>21</v>
      </c>
      <c r="I165">
        <v>57064.27</v>
      </c>
      <c r="J165" t="str">
        <f>TEXT(DATE(2024,Table1[[#This Row],[Month2]],1),"mmmm")</f>
        <v>January</v>
      </c>
      <c r="K165">
        <v>1</v>
      </c>
      <c r="L165">
        <v>2025</v>
      </c>
    </row>
    <row r="166" spans="1:12" x14ac:dyDescent="0.25">
      <c r="A166" t="s">
        <v>30</v>
      </c>
      <c r="B166" t="s">
        <v>413</v>
      </c>
      <c r="C166" t="s">
        <v>551</v>
      </c>
      <c r="D166" t="s">
        <v>559</v>
      </c>
      <c r="E166" t="s">
        <v>563</v>
      </c>
      <c r="F166" t="s">
        <v>738</v>
      </c>
      <c r="G166">
        <v>483176.01</v>
      </c>
      <c r="H166">
        <v>21</v>
      </c>
      <c r="I166">
        <v>79615.94</v>
      </c>
      <c r="J166" t="str">
        <f>TEXT(DATE(2024,Table1[[#This Row],[Month2]],1),"mmmm")</f>
        <v>July</v>
      </c>
      <c r="K166">
        <v>7</v>
      </c>
      <c r="L166">
        <v>2025</v>
      </c>
    </row>
    <row r="167" spans="1:12" x14ac:dyDescent="0.25">
      <c r="A167" t="s">
        <v>157</v>
      </c>
      <c r="B167" t="s">
        <v>414</v>
      </c>
      <c r="C167" t="s">
        <v>552</v>
      </c>
      <c r="D167" t="s">
        <v>559</v>
      </c>
      <c r="E167" t="s">
        <v>565</v>
      </c>
      <c r="F167" t="s">
        <v>739</v>
      </c>
      <c r="G167">
        <v>90304.86</v>
      </c>
      <c r="H167">
        <v>39</v>
      </c>
      <c r="I167">
        <v>5060.12</v>
      </c>
      <c r="J167" t="str">
        <f>TEXT(DATE(2024,Table1[[#This Row],[Month2]],1),"mmmm")</f>
        <v>November</v>
      </c>
      <c r="K167">
        <v>11</v>
      </c>
      <c r="L167">
        <v>2024</v>
      </c>
    </row>
    <row r="168" spans="1:12" x14ac:dyDescent="0.25">
      <c r="A168" t="s">
        <v>158</v>
      </c>
      <c r="B168" t="s">
        <v>415</v>
      </c>
      <c r="C168" t="s">
        <v>550</v>
      </c>
      <c r="D168" t="s">
        <v>561</v>
      </c>
      <c r="E168" t="s">
        <v>570</v>
      </c>
      <c r="F168" t="s">
        <v>740</v>
      </c>
      <c r="G168">
        <v>350119.16</v>
      </c>
      <c r="H168">
        <v>15</v>
      </c>
      <c r="I168">
        <v>39148.199999999997</v>
      </c>
      <c r="J168" t="str">
        <f>TEXT(DATE(2024,Table1[[#This Row],[Month2]],1),"mmmm")</f>
        <v>July</v>
      </c>
      <c r="K168">
        <v>7</v>
      </c>
      <c r="L168">
        <v>2024</v>
      </c>
    </row>
    <row r="169" spans="1:12" x14ac:dyDescent="0.25">
      <c r="A169" t="s">
        <v>159</v>
      </c>
      <c r="B169" t="s">
        <v>416</v>
      </c>
      <c r="C169" t="s">
        <v>558</v>
      </c>
      <c r="D169" t="s">
        <v>560</v>
      </c>
      <c r="E169" t="s">
        <v>569</v>
      </c>
      <c r="F169" t="s">
        <v>741</v>
      </c>
      <c r="G169">
        <v>434422.71</v>
      </c>
      <c r="H169">
        <v>50</v>
      </c>
      <c r="I169">
        <v>54399.82</v>
      </c>
      <c r="J169" t="str">
        <f>TEXT(DATE(2024,Table1[[#This Row],[Month2]],1),"mmmm")</f>
        <v>November</v>
      </c>
      <c r="K169">
        <v>11</v>
      </c>
      <c r="L169">
        <v>2024</v>
      </c>
    </row>
    <row r="170" spans="1:12" x14ac:dyDescent="0.25">
      <c r="A170" t="s">
        <v>160</v>
      </c>
      <c r="B170" t="s">
        <v>417</v>
      </c>
      <c r="C170" t="s">
        <v>556</v>
      </c>
      <c r="D170" t="s">
        <v>561</v>
      </c>
      <c r="E170" t="s">
        <v>570</v>
      </c>
      <c r="F170" t="s">
        <v>742</v>
      </c>
      <c r="G170">
        <v>194817.15</v>
      </c>
      <c r="H170">
        <v>8</v>
      </c>
      <c r="I170">
        <v>37588.92</v>
      </c>
      <c r="J170" t="str">
        <f>TEXT(DATE(2024,Table1[[#This Row],[Month2]],1),"mmmm")</f>
        <v>April</v>
      </c>
      <c r="K170">
        <v>4</v>
      </c>
      <c r="L170">
        <v>2024</v>
      </c>
    </row>
    <row r="171" spans="1:12" x14ac:dyDescent="0.25">
      <c r="A171" t="s">
        <v>113</v>
      </c>
      <c r="B171" t="s">
        <v>418</v>
      </c>
      <c r="C171" t="s">
        <v>557</v>
      </c>
      <c r="D171" t="s">
        <v>561</v>
      </c>
      <c r="E171" t="s">
        <v>570</v>
      </c>
      <c r="F171" t="s">
        <v>743</v>
      </c>
      <c r="G171">
        <v>463647.87</v>
      </c>
      <c r="H171">
        <v>18</v>
      </c>
      <c r="I171">
        <v>42216.33</v>
      </c>
      <c r="J171" t="str">
        <f>TEXT(DATE(2024,Table1[[#This Row],[Month2]],1),"mmmm")</f>
        <v>June</v>
      </c>
      <c r="K171">
        <v>6</v>
      </c>
      <c r="L171">
        <v>2025</v>
      </c>
    </row>
    <row r="172" spans="1:12" x14ac:dyDescent="0.25">
      <c r="A172" t="s">
        <v>161</v>
      </c>
      <c r="B172" t="s">
        <v>419</v>
      </c>
      <c r="C172" t="s">
        <v>555</v>
      </c>
      <c r="D172" t="s">
        <v>561</v>
      </c>
      <c r="E172" t="s">
        <v>572</v>
      </c>
      <c r="F172" t="s">
        <v>744</v>
      </c>
      <c r="G172">
        <v>68710.559999999998</v>
      </c>
      <c r="H172">
        <v>18</v>
      </c>
      <c r="I172">
        <v>7135.99</v>
      </c>
      <c r="J172" t="str">
        <f>TEXT(DATE(2024,Table1[[#This Row],[Month2]],1),"mmmm")</f>
        <v>August</v>
      </c>
      <c r="K172">
        <v>8</v>
      </c>
      <c r="L172">
        <v>2024</v>
      </c>
    </row>
    <row r="173" spans="1:12" x14ac:dyDescent="0.25">
      <c r="A173" t="s">
        <v>162</v>
      </c>
      <c r="B173" t="s">
        <v>420</v>
      </c>
      <c r="C173" t="s">
        <v>557</v>
      </c>
      <c r="D173" t="s">
        <v>561</v>
      </c>
      <c r="E173" t="s">
        <v>571</v>
      </c>
      <c r="F173" t="s">
        <v>745</v>
      </c>
      <c r="G173">
        <v>22590.27</v>
      </c>
      <c r="H173">
        <v>22</v>
      </c>
      <c r="I173">
        <v>3229.81</v>
      </c>
      <c r="J173" t="str">
        <f>TEXT(DATE(2024,Table1[[#This Row],[Month2]],1),"mmmm")</f>
        <v>August</v>
      </c>
      <c r="K173">
        <v>8</v>
      </c>
      <c r="L173">
        <v>2025</v>
      </c>
    </row>
    <row r="174" spans="1:12" x14ac:dyDescent="0.25">
      <c r="A174" t="s">
        <v>163</v>
      </c>
      <c r="B174" t="s">
        <v>421</v>
      </c>
      <c r="C174" t="s">
        <v>549</v>
      </c>
      <c r="D174" t="s">
        <v>560</v>
      </c>
      <c r="E174" t="s">
        <v>566</v>
      </c>
      <c r="F174" t="s">
        <v>746</v>
      </c>
      <c r="G174">
        <v>259199.73</v>
      </c>
      <c r="H174">
        <v>31</v>
      </c>
      <c r="I174">
        <v>54338.45</v>
      </c>
      <c r="J174" t="str">
        <f>TEXT(DATE(2024,Table1[[#This Row],[Month2]],1),"mmmm")</f>
        <v>November</v>
      </c>
      <c r="K174">
        <v>11</v>
      </c>
      <c r="L174">
        <v>2024</v>
      </c>
    </row>
    <row r="175" spans="1:12" x14ac:dyDescent="0.25">
      <c r="A175" t="s">
        <v>43</v>
      </c>
      <c r="B175" t="s">
        <v>422</v>
      </c>
      <c r="C175" t="s">
        <v>558</v>
      </c>
      <c r="D175" t="s">
        <v>559</v>
      </c>
      <c r="E175" t="s">
        <v>565</v>
      </c>
      <c r="F175" t="s">
        <v>747</v>
      </c>
      <c r="G175">
        <v>88249.58</v>
      </c>
      <c r="H175">
        <v>24</v>
      </c>
      <c r="I175">
        <v>11460.62</v>
      </c>
      <c r="J175" t="str">
        <f>TEXT(DATE(2024,Table1[[#This Row],[Month2]],1),"mmmm")</f>
        <v>June</v>
      </c>
      <c r="K175">
        <v>6</v>
      </c>
      <c r="L175">
        <v>2024</v>
      </c>
    </row>
    <row r="176" spans="1:12" x14ac:dyDescent="0.25">
      <c r="A176" t="s">
        <v>164</v>
      </c>
      <c r="B176" t="s">
        <v>423</v>
      </c>
      <c r="C176" t="s">
        <v>557</v>
      </c>
      <c r="D176" t="s">
        <v>559</v>
      </c>
      <c r="E176" t="s">
        <v>567</v>
      </c>
      <c r="F176" t="s">
        <v>748</v>
      </c>
      <c r="G176">
        <v>114741.45</v>
      </c>
      <c r="H176">
        <v>14</v>
      </c>
      <c r="I176">
        <v>9453.73</v>
      </c>
      <c r="J176" t="str">
        <f>TEXT(DATE(2024,Table1[[#This Row],[Month2]],1),"mmmm")</f>
        <v>June</v>
      </c>
      <c r="K176">
        <v>6</v>
      </c>
      <c r="L176">
        <v>2024</v>
      </c>
    </row>
    <row r="177" spans="1:12" x14ac:dyDescent="0.25">
      <c r="A177" t="s">
        <v>165</v>
      </c>
      <c r="B177" t="s">
        <v>424</v>
      </c>
      <c r="C177" t="s">
        <v>558</v>
      </c>
      <c r="D177" t="s">
        <v>561</v>
      </c>
      <c r="E177" t="s">
        <v>568</v>
      </c>
      <c r="F177" t="s">
        <v>749</v>
      </c>
      <c r="G177">
        <v>22648.07</v>
      </c>
      <c r="H177">
        <v>3</v>
      </c>
      <c r="I177">
        <v>3551.54</v>
      </c>
      <c r="J177" t="str">
        <f>TEXT(DATE(2024,Table1[[#This Row],[Month2]],1),"mmmm")</f>
        <v>September</v>
      </c>
      <c r="K177">
        <v>9</v>
      </c>
      <c r="L177">
        <v>2024</v>
      </c>
    </row>
    <row r="178" spans="1:12" x14ac:dyDescent="0.25">
      <c r="A178" t="s">
        <v>166</v>
      </c>
      <c r="B178" t="s">
        <v>425</v>
      </c>
      <c r="C178" t="s">
        <v>551</v>
      </c>
      <c r="D178" t="s">
        <v>559</v>
      </c>
      <c r="E178" t="s">
        <v>562</v>
      </c>
      <c r="F178" t="s">
        <v>750</v>
      </c>
      <c r="G178">
        <v>402988.97</v>
      </c>
      <c r="H178">
        <v>19</v>
      </c>
      <c r="I178">
        <v>95042.96</v>
      </c>
      <c r="J178" t="str">
        <f>TEXT(DATE(2024,Table1[[#This Row],[Month2]],1),"mmmm")</f>
        <v>September</v>
      </c>
      <c r="K178">
        <v>9</v>
      </c>
      <c r="L178">
        <v>2024</v>
      </c>
    </row>
    <row r="179" spans="1:12" x14ac:dyDescent="0.25">
      <c r="A179" t="s">
        <v>167</v>
      </c>
      <c r="B179" t="s">
        <v>426</v>
      </c>
      <c r="C179" t="s">
        <v>549</v>
      </c>
      <c r="D179" t="s">
        <v>561</v>
      </c>
      <c r="E179" t="s">
        <v>568</v>
      </c>
      <c r="F179" t="s">
        <v>751</v>
      </c>
      <c r="G179">
        <v>148929.01</v>
      </c>
      <c r="H179">
        <v>4</v>
      </c>
      <c r="I179">
        <v>34306.21</v>
      </c>
      <c r="J179" t="str">
        <f>TEXT(DATE(2024,Table1[[#This Row],[Month2]],1),"mmmm")</f>
        <v>January</v>
      </c>
      <c r="K179">
        <v>1</v>
      </c>
      <c r="L179">
        <v>2024</v>
      </c>
    </row>
    <row r="180" spans="1:12" x14ac:dyDescent="0.25">
      <c r="A180" t="s">
        <v>168</v>
      </c>
      <c r="B180" t="s">
        <v>427</v>
      </c>
      <c r="C180" t="s">
        <v>558</v>
      </c>
      <c r="D180" t="s">
        <v>559</v>
      </c>
      <c r="E180" t="s">
        <v>567</v>
      </c>
      <c r="F180" t="s">
        <v>752</v>
      </c>
      <c r="G180">
        <v>228965.55</v>
      </c>
      <c r="H180">
        <v>34</v>
      </c>
      <c r="I180">
        <v>11566.98</v>
      </c>
      <c r="J180" t="str">
        <f>TEXT(DATE(2024,Table1[[#This Row],[Month2]],1),"mmmm")</f>
        <v>February</v>
      </c>
      <c r="K180">
        <v>2</v>
      </c>
      <c r="L180">
        <v>2025</v>
      </c>
    </row>
    <row r="181" spans="1:12" x14ac:dyDescent="0.25">
      <c r="A181" t="s">
        <v>169</v>
      </c>
      <c r="B181" t="s">
        <v>428</v>
      </c>
      <c r="C181" t="s">
        <v>549</v>
      </c>
      <c r="D181" t="s">
        <v>561</v>
      </c>
      <c r="E181" t="s">
        <v>571</v>
      </c>
      <c r="F181" t="s">
        <v>753</v>
      </c>
      <c r="G181">
        <v>355677.62</v>
      </c>
      <c r="H181">
        <v>39</v>
      </c>
      <c r="I181">
        <v>82272.5</v>
      </c>
      <c r="J181" t="str">
        <f>TEXT(DATE(2024,Table1[[#This Row],[Month2]],1),"mmmm")</f>
        <v>December</v>
      </c>
      <c r="K181">
        <v>12</v>
      </c>
      <c r="L181">
        <v>2024</v>
      </c>
    </row>
    <row r="182" spans="1:12" x14ac:dyDescent="0.25">
      <c r="A182" t="s">
        <v>101</v>
      </c>
      <c r="B182" t="s">
        <v>429</v>
      </c>
      <c r="C182" t="s">
        <v>557</v>
      </c>
      <c r="D182" t="s">
        <v>559</v>
      </c>
      <c r="E182" t="s">
        <v>565</v>
      </c>
      <c r="F182" t="s">
        <v>754</v>
      </c>
      <c r="G182">
        <v>315137.84000000003</v>
      </c>
      <c r="H182">
        <v>3</v>
      </c>
      <c r="I182">
        <v>52718.93</v>
      </c>
      <c r="J182" t="str">
        <f>TEXT(DATE(2024,Table1[[#This Row],[Month2]],1),"mmmm")</f>
        <v>November</v>
      </c>
      <c r="K182">
        <v>11</v>
      </c>
      <c r="L182">
        <v>2025</v>
      </c>
    </row>
    <row r="183" spans="1:12" x14ac:dyDescent="0.25">
      <c r="A183" t="s">
        <v>170</v>
      </c>
      <c r="B183" t="s">
        <v>430</v>
      </c>
      <c r="C183" t="s">
        <v>554</v>
      </c>
      <c r="D183" t="s">
        <v>560</v>
      </c>
      <c r="E183" t="s">
        <v>564</v>
      </c>
      <c r="F183" t="s">
        <v>755</v>
      </c>
      <c r="G183">
        <v>332184.45</v>
      </c>
      <c r="H183">
        <v>24</v>
      </c>
      <c r="I183">
        <v>70866.33</v>
      </c>
      <c r="J183" t="str">
        <f>TEXT(DATE(2024,Table1[[#This Row],[Month2]],1),"mmmm")</f>
        <v>December</v>
      </c>
      <c r="K183">
        <v>12</v>
      </c>
      <c r="L183">
        <v>2025</v>
      </c>
    </row>
    <row r="184" spans="1:12" x14ac:dyDescent="0.25">
      <c r="A184" t="s">
        <v>171</v>
      </c>
      <c r="B184" t="s">
        <v>431</v>
      </c>
      <c r="C184" t="s">
        <v>553</v>
      </c>
      <c r="D184" t="s">
        <v>561</v>
      </c>
      <c r="E184" t="s">
        <v>570</v>
      </c>
      <c r="F184" t="s">
        <v>756</v>
      </c>
      <c r="G184">
        <v>433742.92</v>
      </c>
      <c r="H184">
        <v>46</v>
      </c>
      <c r="I184">
        <v>101340.37</v>
      </c>
      <c r="J184" t="str">
        <f>TEXT(DATE(2024,Table1[[#This Row],[Month2]],1),"mmmm")</f>
        <v>March</v>
      </c>
      <c r="K184">
        <v>3</v>
      </c>
      <c r="L184">
        <v>2024</v>
      </c>
    </row>
    <row r="185" spans="1:12" x14ac:dyDescent="0.25">
      <c r="A185" t="s">
        <v>137</v>
      </c>
      <c r="B185" t="s">
        <v>432</v>
      </c>
      <c r="C185" t="s">
        <v>550</v>
      </c>
      <c r="D185" t="s">
        <v>559</v>
      </c>
      <c r="E185" t="s">
        <v>563</v>
      </c>
      <c r="F185" t="s">
        <v>757</v>
      </c>
      <c r="G185">
        <v>336675.67</v>
      </c>
      <c r="H185">
        <v>37</v>
      </c>
      <c r="I185">
        <v>31218.04</v>
      </c>
      <c r="J185" t="str">
        <f>TEXT(DATE(2024,Table1[[#This Row],[Month2]],1),"mmmm")</f>
        <v>April</v>
      </c>
      <c r="K185">
        <v>4</v>
      </c>
      <c r="L185">
        <v>2024</v>
      </c>
    </row>
    <row r="186" spans="1:12" x14ac:dyDescent="0.25">
      <c r="A186" t="s">
        <v>172</v>
      </c>
      <c r="B186" t="s">
        <v>433</v>
      </c>
      <c r="C186" t="s">
        <v>554</v>
      </c>
      <c r="D186" t="s">
        <v>561</v>
      </c>
      <c r="E186" t="s">
        <v>568</v>
      </c>
      <c r="F186" t="s">
        <v>758</v>
      </c>
      <c r="G186">
        <v>247015.18</v>
      </c>
      <c r="H186">
        <v>6</v>
      </c>
      <c r="I186">
        <v>55990.89</v>
      </c>
      <c r="J186" t="str">
        <f>TEXT(DATE(2024,Table1[[#This Row],[Month2]],1),"mmmm")</f>
        <v>April</v>
      </c>
      <c r="K186">
        <v>4</v>
      </c>
      <c r="L186">
        <v>2024</v>
      </c>
    </row>
    <row r="187" spans="1:12" x14ac:dyDescent="0.25">
      <c r="A187" t="s">
        <v>173</v>
      </c>
      <c r="B187" t="s">
        <v>434</v>
      </c>
      <c r="C187" t="s">
        <v>558</v>
      </c>
      <c r="D187" t="s">
        <v>561</v>
      </c>
      <c r="E187" t="s">
        <v>572</v>
      </c>
      <c r="F187" t="s">
        <v>759</v>
      </c>
      <c r="G187">
        <v>61711.67</v>
      </c>
      <c r="H187">
        <v>46</v>
      </c>
      <c r="I187">
        <v>13989.29</v>
      </c>
      <c r="J187" t="str">
        <f>TEXT(DATE(2024,Table1[[#This Row],[Month2]],1),"mmmm")</f>
        <v>December</v>
      </c>
      <c r="K187">
        <v>12</v>
      </c>
      <c r="L187">
        <v>2025</v>
      </c>
    </row>
    <row r="188" spans="1:12" x14ac:dyDescent="0.25">
      <c r="A188" t="s">
        <v>174</v>
      </c>
      <c r="B188" t="s">
        <v>435</v>
      </c>
      <c r="C188" t="s">
        <v>555</v>
      </c>
      <c r="D188" t="s">
        <v>561</v>
      </c>
      <c r="E188" t="s">
        <v>571</v>
      </c>
      <c r="F188" t="s">
        <v>760</v>
      </c>
      <c r="G188">
        <v>271689.76</v>
      </c>
      <c r="H188">
        <v>45</v>
      </c>
      <c r="I188">
        <v>38544.720000000001</v>
      </c>
      <c r="J188" t="str">
        <f>TEXT(DATE(2024,Table1[[#This Row],[Month2]],1),"mmmm")</f>
        <v>October</v>
      </c>
      <c r="K188">
        <v>10</v>
      </c>
      <c r="L188">
        <v>2024</v>
      </c>
    </row>
    <row r="189" spans="1:12" x14ac:dyDescent="0.25">
      <c r="A189" t="s">
        <v>175</v>
      </c>
      <c r="B189" t="s">
        <v>436</v>
      </c>
      <c r="C189" t="s">
        <v>550</v>
      </c>
      <c r="D189" t="s">
        <v>561</v>
      </c>
      <c r="E189" t="s">
        <v>572</v>
      </c>
      <c r="F189" t="s">
        <v>761</v>
      </c>
      <c r="G189">
        <v>298810.11</v>
      </c>
      <c r="H189">
        <v>18</v>
      </c>
      <c r="I189">
        <v>17227.03</v>
      </c>
      <c r="J189" t="str">
        <f>TEXT(DATE(2024,Table1[[#This Row],[Month2]],1),"mmmm")</f>
        <v>January</v>
      </c>
      <c r="K189">
        <v>1</v>
      </c>
      <c r="L189">
        <v>2025</v>
      </c>
    </row>
    <row r="190" spans="1:12" x14ac:dyDescent="0.25">
      <c r="A190" t="s">
        <v>176</v>
      </c>
      <c r="B190" t="s">
        <v>437</v>
      </c>
      <c r="C190" t="s">
        <v>553</v>
      </c>
      <c r="D190" t="s">
        <v>559</v>
      </c>
      <c r="E190" t="s">
        <v>565</v>
      </c>
      <c r="F190" t="s">
        <v>762</v>
      </c>
      <c r="G190">
        <v>472120.88</v>
      </c>
      <c r="H190">
        <v>20</v>
      </c>
      <c r="I190">
        <v>79373.06</v>
      </c>
      <c r="J190" t="str">
        <f>TEXT(DATE(2024,Table1[[#This Row],[Month2]],1),"mmmm")</f>
        <v>July</v>
      </c>
      <c r="K190">
        <v>7</v>
      </c>
      <c r="L190">
        <v>2024</v>
      </c>
    </row>
    <row r="191" spans="1:12" x14ac:dyDescent="0.25">
      <c r="A191" t="s">
        <v>177</v>
      </c>
      <c r="B191" t="s">
        <v>438</v>
      </c>
      <c r="C191" t="s">
        <v>552</v>
      </c>
      <c r="D191" t="s">
        <v>559</v>
      </c>
      <c r="E191" t="s">
        <v>567</v>
      </c>
      <c r="F191" t="s">
        <v>763</v>
      </c>
      <c r="G191">
        <v>131475</v>
      </c>
      <c r="H191">
        <v>13</v>
      </c>
      <c r="I191">
        <v>22580.240000000002</v>
      </c>
      <c r="J191" t="str">
        <f>TEXT(DATE(2024,Table1[[#This Row],[Month2]],1),"mmmm")</f>
        <v>March</v>
      </c>
      <c r="K191">
        <v>3</v>
      </c>
      <c r="L191">
        <v>2024</v>
      </c>
    </row>
    <row r="192" spans="1:12" x14ac:dyDescent="0.25">
      <c r="A192" t="s">
        <v>178</v>
      </c>
      <c r="B192" t="s">
        <v>439</v>
      </c>
      <c r="C192" t="s">
        <v>555</v>
      </c>
      <c r="D192" t="s">
        <v>560</v>
      </c>
      <c r="E192" t="s">
        <v>566</v>
      </c>
      <c r="F192" t="s">
        <v>764</v>
      </c>
      <c r="G192">
        <v>331788.49</v>
      </c>
      <c r="H192">
        <v>13</v>
      </c>
      <c r="I192">
        <v>81388.240000000005</v>
      </c>
      <c r="J192" t="str">
        <f>TEXT(DATE(2024,Table1[[#This Row],[Month2]],1),"mmmm")</f>
        <v>August</v>
      </c>
      <c r="K192">
        <v>8</v>
      </c>
      <c r="L192">
        <v>2024</v>
      </c>
    </row>
    <row r="193" spans="1:12" x14ac:dyDescent="0.25">
      <c r="A193" t="s">
        <v>179</v>
      </c>
      <c r="B193" t="s">
        <v>440</v>
      </c>
      <c r="C193" t="s">
        <v>551</v>
      </c>
      <c r="D193" t="s">
        <v>561</v>
      </c>
      <c r="E193" t="s">
        <v>568</v>
      </c>
      <c r="F193" t="s">
        <v>765</v>
      </c>
      <c r="G193">
        <v>354593.78</v>
      </c>
      <c r="H193">
        <v>31</v>
      </c>
      <c r="I193">
        <v>51301.95</v>
      </c>
      <c r="J193" t="str">
        <f>TEXT(DATE(2024,Table1[[#This Row],[Month2]],1),"mmmm")</f>
        <v>April</v>
      </c>
      <c r="K193">
        <v>4</v>
      </c>
      <c r="L193">
        <v>2025</v>
      </c>
    </row>
    <row r="194" spans="1:12" x14ac:dyDescent="0.25">
      <c r="A194" t="s">
        <v>56</v>
      </c>
      <c r="B194" t="s">
        <v>441</v>
      </c>
      <c r="C194" t="s">
        <v>552</v>
      </c>
      <c r="D194" t="s">
        <v>559</v>
      </c>
      <c r="E194" t="s">
        <v>567</v>
      </c>
      <c r="F194" t="s">
        <v>766</v>
      </c>
      <c r="G194">
        <v>224187.14</v>
      </c>
      <c r="H194">
        <v>4</v>
      </c>
      <c r="I194">
        <v>33135.089999999997</v>
      </c>
      <c r="J194" t="str">
        <f>TEXT(DATE(2024,Table1[[#This Row],[Month2]],1),"mmmm")</f>
        <v>September</v>
      </c>
      <c r="K194">
        <v>9</v>
      </c>
      <c r="L194">
        <v>2025</v>
      </c>
    </row>
    <row r="195" spans="1:12" x14ac:dyDescent="0.25">
      <c r="A195" t="s">
        <v>180</v>
      </c>
      <c r="B195" t="s">
        <v>442</v>
      </c>
      <c r="C195" t="s">
        <v>556</v>
      </c>
      <c r="D195" t="s">
        <v>559</v>
      </c>
      <c r="E195" t="s">
        <v>562</v>
      </c>
      <c r="F195" t="s">
        <v>767</v>
      </c>
      <c r="G195">
        <v>246300.17</v>
      </c>
      <c r="H195">
        <v>40</v>
      </c>
      <c r="I195">
        <v>30242.34</v>
      </c>
      <c r="J195" t="str">
        <f>TEXT(DATE(2024,Table1[[#This Row],[Month2]],1),"mmmm")</f>
        <v>October</v>
      </c>
      <c r="K195">
        <v>10</v>
      </c>
      <c r="L195">
        <v>2025</v>
      </c>
    </row>
    <row r="196" spans="1:12" x14ac:dyDescent="0.25">
      <c r="A196" t="s">
        <v>181</v>
      </c>
      <c r="B196" t="s">
        <v>443</v>
      </c>
      <c r="C196" t="s">
        <v>552</v>
      </c>
      <c r="D196" t="s">
        <v>559</v>
      </c>
      <c r="E196" t="s">
        <v>562</v>
      </c>
      <c r="F196" t="s">
        <v>768</v>
      </c>
      <c r="G196">
        <v>33400.18</v>
      </c>
      <c r="H196">
        <v>28</v>
      </c>
      <c r="I196">
        <v>3475.89</v>
      </c>
      <c r="J196" t="str">
        <f>TEXT(DATE(2024,Table1[[#This Row],[Month2]],1),"mmmm")</f>
        <v>September</v>
      </c>
      <c r="K196">
        <v>9</v>
      </c>
      <c r="L196">
        <v>2024</v>
      </c>
    </row>
    <row r="197" spans="1:12" x14ac:dyDescent="0.25">
      <c r="A197" t="s">
        <v>182</v>
      </c>
      <c r="B197" t="s">
        <v>444</v>
      </c>
      <c r="C197" t="s">
        <v>556</v>
      </c>
      <c r="D197" t="s">
        <v>561</v>
      </c>
      <c r="E197" t="s">
        <v>568</v>
      </c>
      <c r="F197" t="s">
        <v>769</v>
      </c>
      <c r="G197">
        <v>163038.49</v>
      </c>
      <c r="H197">
        <v>33</v>
      </c>
      <c r="I197">
        <v>35794.94</v>
      </c>
      <c r="J197" t="str">
        <f>TEXT(DATE(2024,Table1[[#This Row],[Month2]],1),"mmmm")</f>
        <v>December</v>
      </c>
      <c r="K197">
        <v>12</v>
      </c>
      <c r="L197">
        <v>2024</v>
      </c>
    </row>
    <row r="198" spans="1:12" x14ac:dyDescent="0.25">
      <c r="A198" t="s">
        <v>176</v>
      </c>
      <c r="B198" t="s">
        <v>445</v>
      </c>
      <c r="C198" t="s">
        <v>558</v>
      </c>
      <c r="D198" t="s">
        <v>560</v>
      </c>
      <c r="E198" t="s">
        <v>569</v>
      </c>
      <c r="F198" t="s">
        <v>770</v>
      </c>
      <c r="G198">
        <v>167680.71</v>
      </c>
      <c r="H198">
        <v>32</v>
      </c>
      <c r="I198">
        <v>15155.2</v>
      </c>
      <c r="J198" t="str">
        <f>TEXT(DATE(2024,Table1[[#This Row],[Month2]],1),"mmmm")</f>
        <v>July</v>
      </c>
      <c r="K198">
        <v>7</v>
      </c>
      <c r="L198">
        <v>2024</v>
      </c>
    </row>
    <row r="199" spans="1:12" x14ac:dyDescent="0.25">
      <c r="A199" t="s">
        <v>183</v>
      </c>
      <c r="B199" t="s">
        <v>446</v>
      </c>
      <c r="C199" t="s">
        <v>558</v>
      </c>
      <c r="D199" t="s">
        <v>561</v>
      </c>
      <c r="E199" t="s">
        <v>568</v>
      </c>
      <c r="F199" t="s">
        <v>771</v>
      </c>
      <c r="G199">
        <v>277914.73</v>
      </c>
      <c r="H199">
        <v>9</v>
      </c>
      <c r="I199">
        <v>38062.29</v>
      </c>
      <c r="J199" t="str">
        <f>TEXT(DATE(2024,Table1[[#This Row],[Month2]],1),"mmmm")</f>
        <v>September</v>
      </c>
      <c r="K199">
        <v>9</v>
      </c>
      <c r="L199">
        <v>2025</v>
      </c>
    </row>
    <row r="200" spans="1:12" x14ac:dyDescent="0.25">
      <c r="A200" t="s">
        <v>184</v>
      </c>
      <c r="B200" t="s">
        <v>447</v>
      </c>
      <c r="C200" t="s">
        <v>552</v>
      </c>
      <c r="D200" t="s">
        <v>559</v>
      </c>
      <c r="E200" t="s">
        <v>563</v>
      </c>
      <c r="F200" t="s">
        <v>772</v>
      </c>
      <c r="G200">
        <v>33808.22</v>
      </c>
      <c r="H200">
        <v>50</v>
      </c>
      <c r="I200">
        <v>5119.79</v>
      </c>
      <c r="J200" t="str">
        <f>TEXT(DATE(2024,Table1[[#This Row],[Month2]],1),"mmmm")</f>
        <v>December</v>
      </c>
      <c r="K200">
        <v>12</v>
      </c>
      <c r="L200">
        <v>2024</v>
      </c>
    </row>
    <row r="201" spans="1:12" x14ac:dyDescent="0.25">
      <c r="A201" t="s">
        <v>185</v>
      </c>
      <c r="B201" t="s">
        <v>448</v>
      </c>
      <c r="C201" t="s">
        <v>549</v>
      </c>
      <c r="D201" t="s">
        <v>560</v>
      </c>
      <c r="E201" t="s">
        <v>564</v>
      </c>
      <c r="F201" t="s">
        <v>773</v>
      </c>
      <c r="G201">
        <v>250150.41</v>
      </c>
      <c r="H201">
        <v>22</v>
      </c>
      <c r="I201">
        <v>33378.01</v>
      </c>
      <c r="J201" t="str">
        <f>TEXT(DATE(2024,Table1[[#This Row],[Month2]],1),"mmmm")</f>
        <v>May</v>
      </c>
      <c r="K201">
        <v>5</v>
      </c>
      <c r="L201">
        <v>2024</v>
      </c>
    </row>
    <row r="202" spans="1:12" x14ac:dyDescent="0.25">
      <c r="A202" t="s">
        <v>51</v>
      </c>
      <c r="B202" t="s">
        <v>449</v>
      </c>
      <c r="C202" t="s">
        <v>554</v>
      </c>
      <c r="D202" t="s">
        <v>560</v>
      </c>
      <c r="E202" t="s">
        <v>573</v>
      </c>
      <c r="F202" t="s">
        <v>774</v>
      </c>
      <c r="G202">
        <v>212965.77</v>
      </c>
      <c r="H202">
        <v>41</v>
      </c>
      <c r="I202">
        <v>29820.28</v>
      </c>
      <c r="J202" t="str">
        <f>TEXT(DATE(2024,Table1[[#This Row],[Month2]],1),"mmmm")</f>
        <v>January</v>
      </c>
      <c r="K202">
        <v>1</v>
      </c>
      <c r="L202">
        <v>2025</v>
      </c>
    </row>
    <row r="203" spans="1:12" x14ac:dyDescent="0.25">
      <c r="A203" t="s">
        <v>37</v>
      </c>
      <c r="B203" t="s">
        <v>450</v>
      </c>
      <c r="C203" t="s">
        <v>551</v>
      </c>
      <c r="D203" t="s">
        <v>559</v>
      </c>
      <c r="E203" t="s">
        <v>565</v>
      </c>
      <c r="F203" t="s">
        <v>775</v>
      </c>
      <c r="G203">
        <v>275504.45</v>
      </c>
      <c r="H203">
        <v>15</v>
      </c>
      <c r="I203">
        <v>13778.14</v>
      </c>
      <c r="J203" t="str">
        <f>TEXT(DATE(2024,Table1[[#This Row],[Month2]],1),"mmmm")</f>
        <v>May</v>
      </c>
      <c r="K203">
        <v>5</v>
      </c>
      <c r="L203">
        <v>2024</v>
      </c>
    </row>
    <row r="204" spans="1:12" x14ac:dyDescent="0.25">
      <c r="A204" t="s">
        <v>186</v>
      </c>
      <c r="B204" t="s">
        <v>451</v>
      </c>
      <c r="C204" t="s">
        <v>555</v>
      </c>
      <c r="D204" t="s">
        <v>559</v>
      </c>
      <c r="E204" t="s">
        <v>563</v>
      </c>
      <c r="F204" t="s">
        <v>776</v>
      </c>
      <c r="G204">
        <v>126946.17</v>
      </c>
      <c r="H204">
        <v>20</v>
      </c>
      <c r="I204">
        <v>7841.92</v>
      </c>
      <c r="J204" t="str">
        <f>TEXT(DATE(2024,Table1[[#This Row],[Month2]],1),"mmmm")</f>
        <v>June</v>
      </c>
      <c r="K204">
        <v>6</v>
      </c>
      <c r="L204">
        <v>2024</v>
      </c>
    </row>
    <row r="205" spans="1:12" x14ac:dyDescent="0.25">
      <c r="A205" t="s">
        <v>187</v>
      </c>
      <c r="B205" t="s">
        <v>452</v>
      </c>
      <c r="C205" t="s">
        <v>549</v>
      </c>
      <c r="D205" t="s">
        <v>560</v>
      </c>
      <c r="E205" t="s">
        <v>569</v>
      </c>
      <c r="F205" t="s">
        <v>777</v>
      </c>
      <c r="G205">
        <v>137385.47</v>
      </c>
      <c r="H205">
        <v>48</v>
      </c>
      <c r="I205">
        <v>21481.01</v>
      </c>
      <c r="J205" t="str">
        <f>TEXT(DATE(2024,Table1[[#This Row],[Month2]],1),"mmmm")</f>
        <v>January</v>
      </c>
      <c r="K205">
        <v>1</v>
      </c>
      <c r="L205">
        <v>2025</v>
      </c>
    </row>
    <row r="206" spans="1:12" x14ac:dyDescent="0.25">
      <c r="A206" t="s">
        <v>161</v>
      </c>
      <c r="B206" t="s">
        <v>453</v>
      </c>
      <c r="C206" t="s">
        <v>557</v>
      </c>
      <c r="D206" t="s">
        <v>560</v>
      </c>
      <c r="E206" t="s">
        <v>573</v>
      </c>
      <c r="F206" t="s">
        <v>778</v>
      </c>
      <c r="G206">
        <v>267773.71000000002</v>
      </c>
      <c r="H206">
        <v>6</v>
      </c>
      <c r="I206">
        <v>17561.38</v>
      </c>
      <c r="J206" t="str">
        <f>TEXT(DATE(2024,Table1[[#This Row],[Month2]],1),"mmmm")</f>
        <v>August</v>
      </c>
      <c r="K206">
        <v>8</v>
      </c>
      <c r="L206">
        <v>2024</v>
      </c>
    </row>
    <row r="207" spans="1:12" x14ac:dyDescent="0.25">
      <c r="A207" t="s">
        <v>74</v>
      </c>
      <c r="B207" t="s">
        <v>454</v>
      </c>
      <c r="C207" t="s">
        <v>551</v>
      </c>
      <c r="D207" t="s">
        <v>559</v>
      </c>
      <c r="E207" t="s">
        <v>563</v>
      </c>
      <c r="F207" t="s">
        <v>779</v>
      </c>
      <c r="G207">
        <v>21648.32</v>
      </c>
      <c r="H207">
        <v>47</v>
      </c>
      <c r="I207">
        <v>3344.66</v>
      </c>
      <c r="J207" t="str">
        <f>TEXT(DATE(2024,Table1[[#This Row],[Month2]],1),"mmmm")</f>
        <v>March</v>
      </c>
      <c r="K207">
        <v>3</v>
      </c>
      <c r="L207">
        <v>2025</v>
      </c>
    </row>
    <row r="208" spans="1:12" x14ac:dyDescent="0.25">
      <c r="A208" t="s">
        <v>81</v>
      </c>
      <c r="B208" t="s">
        <v>455</v>
      </c>
      <c r="C208" t="s">
        <v>555</v>
      </c>
      <c r="D208" t="s">
        <v>561</v>
      </c>
      <c r="E208" t="s">
        <v>568</v>
      </c>
      <c r="F208" t="s">
        <v>780</v>
      </c>
      <c r="G208">
        <v>396641.06</v>
      </c>
      <c r="H208">
        <v>14</v>
      </c>
      <c r="I208">
        <v>79288.429999999993</v>
      </c>
      <c r="J208" t="str">
        <f>TEXT(DATE(2024,Table1[[#This Row],[Month2]],1),"mmmm")</f>
        <v>January</v>
      </c>
      <c r="K208">
        <v>1</v>
      </c>
      <c r="L208">
        <v>2024</v>
      </c>
    </row>
    <row r="209" spans="1:12" x14ac:dyDescent="0.25">
      <c r="A209" t="s">
        <v>129</v>
      </c>
      <c r="B209" t="s">
        <v>456</v>
      </c>
      <c r="C209" t="s">
        <v>552</v>
      </c>
      <c r="D209" t="s">
        <v>560</v>
      </c>
      <c r="E209" t="s">
        <v>566</v>
      </c>
      <c r="F209" t="s">
        <v>781</v>
      </c>
      <c r="G209">
        <v>161563.59</v>
      </c>
      <c r="H209">
        <v>11</v>
      </c>
      <c r="I209">
        <v>29870.89</v>
      </c>
      <c r="J209" t="str">
        <f>TEXT(DATE(2024,Table1[[#This Row],[Month2]],1),"mmmm")</f>
        <v>August</v>
      </c>
      <c r="K209">
        <v>8</v>
      </c>
      <c r="L209">
        <v>2025</v>
      </c>
    </row>
    <row r="210" spans="1:12" x14ac:dyDescent="0.25">
      <c r="A210" t="s">
        <v>80</v>
      </c>
      <c r="B210" t="s">
        <v>457</v>
      </c>
      <c r="C210" t="s">
        <v>553</v>
      </c>
      <c r="D210" t="s">
        <v>561</v>
      </c>
      <c r="E210" t="s">
        <v>570</v>
      </c>
      <c r="F210" t="s">
        <v>782</v>
      </c>
      <c r="G210">
        <v>358192.06</v>
      </c>
      <c r="H210">
        <v>20</v>
      </c>
      <c r="I210">
        <v>39509.949999999997</v>
      </c>
      <c r="J210" t="str">
        <f>TEXT(DATE(2024,Table1[[#This Row],[Month2]],1),"mmmm")</f>
        <v>October</v>
      </c>
      <c r="K210">
        <v>10</v>
      </c>
      <c r="L210">
        <v>2025</v>
      </c>
    </row>
    <row r="211" spans="1:12" x14ac:dyDescent="0.25">
      <c r="A211" t="s">
        <v>167</v>
      </c>
      <c r="B211" t="s">
        <v>458</v>
      </c>
      <c r="C211" t="s">
        <v>557</v>
      </c>
      <c r="D211" t="s">
        <v>561</v>
      </c>
      <c r="E211" t="s">
        <v>572</v>
      </c>
      <c r="F211" t="s">
        <v>783</v>
      </c>
      <c r="G211">
        <v>422874.07</v>
      </c>
      <c r="H211">
        <v>9</v>
      </c>
      <c r="I211">
        <v>79812.31</v>
      </c>
      <c r="J211" t="str">
        <f>TEXT(DATE(2024,Table1[[#This Row],[Month2]],1),"mmmm")</f>
        <v>January</v>
      </c>
      <c r="K211">
        <v>1</v>
      </c>
      <c r="L211">
        <v>2024</v>
      </c>
    </row>
    <row r="212" spans="1:12" x14ac:dyDescent="0.25">
      <c r="A212" t="s">
        <v>188</v>
      </c>
      <c r="B212" t="s">
        <v>459</v>
      </c>
      <c r="C212" t="s">
        <v>551</v>
      </c>
      <c r="D212" t="s">
        <v>560</v>
      </c>
      <c r="E212" t="s">
        <v>564</v>
      </c>
      <c r="F212" t="s">
        <v>784</v>
      </c>
      <c r="G212">
        <v>415117.38</v>
      </c>
      <c r="H212">
        <v>50</v>
      </c>
      <c r="I212">
        <v>82445</v>
      </c>
      <c r="J212" t="str">
        <f>TEXT(DATE(2024,Table1[[#This Row],[Month2]],1),"mmmm")</f>
        <v>December</v>
      </c>
      <c r="K212">
        <v>12</v>
      </c>
      <c r="L212">
        <v>2025</v>
      </c>
    </row>
    <row r="213" spans="1:12" x14ac:dyDescent="0.25">
      <c r="A213" t="s">
        <v>189</v>
      </c>
      <c r="B213" t="s">
        <v>460</v>
      </c>
      <c r="C213" t="s">
        <v>556</v>
      </c>
      <c r="D213" t="s">
        <v>561</v>
      </c>
      <c r="E213" t="s">
        <v>570</v>
      </c>
      <c r="F213" t="s">
        <v>785</v>
      </c>
      <c r="G213">
        <v>233265.19</v>
      </c>
      <c r="H213">
        <v>49</v>
      </c>
      <c r="I213">
        <v>38521.71</v>
      </c>
      <c r="J213" t="str">
        <f>TEXT(DATE(2024,Table1[[#This Row],[Month2]],1),"mmmm")</f>
        <v>November</v>
      </c>
      <c r="K213">
        <v>11</v>
      </c>
      <c r="L213">
        <v>2024</v>
      </c>
    </row>
    <row r="214" spans="1:12" x14ac:dyDescent="0.25">
      <c r="A214" t="s">
        <v>190</v>
      </c>
      <c r="B214" t="s">
        <v>461</v>
      </c>
      <c r="C214" t="s">
        <v>555</v>
      </c>
      <c r="D214" t="s">
        <v>560</v>
      </c>
      <c r="E214" t="s">
        <v>573</v>
      </c>
      <c r="F214" t="s">
        <v>786</v>
      </c>
      <c r="G214">
        <v>489678.08000000002</v>
      </c>
      <c r="H214">
        <v>3</v>
      </c>
      <c r="I214">
        <v>102606.63</v>
      </c>
      <c r="J214" t="str">
        <f>TEXT(DATE(2024,Table1[[#This Row],[Month2]],1),"mmmm")</f>
        <v>March</v>
      </c>
      <c r="K214">
        <v>3</v>
      </c>
      <c r="L214">
        <v>2025</v>
      </c>
    </row>
    <row r="215" spans="1:12" x14ac:dyDescent="0.25">
      <c r="A215" t="s">
        <v>191</v>
      </c>
      <c r="B215" t="s">
        <v>462</v>
      </c>
      <c r="C215" t="s">
        <v>555</v>
      </c>
      <c r="D215" t="s">
        <v>560</v>
      </c>
      <c r="E215" t="s">
        <v>569</v>
      </c>
      <c r="F215" t="s">
        <v>787</v>
      </c>
      <c r="G215">
        <v>291510.40999999997</v>
      </c>
      <c r="H215">
        <v>32</v>
      </c>
      <c r="I215">
        <v>57335.94</v>
      </c>
      <c r="J215" t="str">
        <f>TEXT(DATE(2024,Table1[[#This Row],[Month2]],1),"mmmm")</f>
        <v>July</v>
      </c>
      <c r="K215">
        <v>7</v>
      </c>
      <c r="L215">
        <v>2024</v>
      </c>
    </row>
    <row r="216" spans="1:12" x14ac:dyDescent="0.25">
      <c r="A216" t="s">
        <v>192</v>
      </c>
      <c r="B216" t="s">
        <v>463</v>
      </c>
      <c r="C216" t="s">
        <v>549</v>
      </c>
      <c r="D216" t="s">
        <v>561</v>
      </c>
      <c r="E216" t="s">
        <v>570</v>
      </c>
      <c r="F216" t="s">
        <v>788</v>
      </c>
      <c r="G216">
        <v>478104.91</v>
      </c>
      <c r="H216">
        <v>33</v>
      </c>
      <c r="I216">
        <v>53837.53</v>
      </c>
      <c r="J216" t="str">
        <f>TEXT(DATE(2024,Table1[[#This Row],[Month2]],1),"mmmm")</f>
        <v>October</v>
      </c>
      <c r="K216">
        <v>10</v>
      </c>
      <c r="L216">
        <v>2025</v>
      </c>
    </row>
    <row r="217" spans="1:12" x14ac:dyDescent="0.25">
      <c r="A217" t="s">
        <v>56</v>
      </c>
      <c r="B217" t="s">
        <v>464</v>
      </c>
      <c r="C217" t="s">
        <v>553</v>
      </c>
      <c r="D217" t="s">
        <v>559</v>
      </c>
      <c r="E217" t="s">
        <v>563</v>
      </c>
      <c r="F217" t="s">
        <v>789</v>
      </c>
      <c r="G217">
        <v>483738.21</v>
      </c>
      <c r="H217">
        <v>46</v>
      </c>
      <c r="I217">
        <v>101588.23</v>
      </c>
      <c r="J217" t="str">
        <f>TEXT(DATE(2024,Table1[[#This Row],[Month2]],1),"mmmm")</f>
        <v>September</v>
      </c>
      <c r="K217">
        <v>9</v>
      </c>
      <c r="L217">
        <v>2025</v>
      </c>
    </row>
    <row r="218" spans="1:12" x14ac:dyDescent="0.25">
      <c r="A218" t="s">
        <v>193</v>
      </c>
      <c r="B218" t="s">
        <v>465</v>
      </c>
      <c r="C218" t="s">
        <v>551</v>
      </c>
      <c r="D218" t="s">
        <v>560</v>
      </c>
      <c r="E218" t="s">
        <v>564</v>
      </c>
      <c r="F218" t="s">
        <v>790</v>
      </c>
      <c r="G218">
        <v>116101.18</v>
      </c>
      <c r="H218">
        <v>41</v>
      </c>
      <c r="I218">
        <v>27212.7</v>
      </c>
      <c r="J218" t="str">
        <f>TEXT(DATE(2024,Table1[[#This Row],[Month2]],1),"mmmm")</f>
        <v>October</v>
      </c>
      <c r="K218">
        <v>10</v>
      </c>
      <c r="L218">
        <v>2025</v>
      </c>
    </row>
    <row r="219" spans="1:12" x14ac:dyDescent="0.25">
      <c r="A219" t="s">
        <v>177</v>
      </c>
      <c r="B219" t="s">
        <v>466</v>
      </c>
      <c r="C219" t="s">
        <v>557</v>
      </c>
      <c r="D219" t="s">
        <v>560</v>
      </c>
      <c r="E219" t="s">
        <v>566</v>
      </c>
      <c r="F219" t="s">
        <v>652</v>
      </c>
      <c r="G219">
        <v>61969.54</v>
      </c>
      <c r="H219">
        <v>28</v>
      </c>
      <c r="I219">
        <v>9053.35</v>
      </c>
      <c r="J219" t="str">
        <f>TEXT(DATE(2024,Table1[[#This Row],[Month2]],1),"mmmm")</f>
        <v>March</v>
      </c>
      <c r="K219">
        <v>3</v>
      </c>
      <c r="L219">
        <v>2024</v>
      </c>
    </row>
    <row r="220" spans="1:12" x14ac:dyDescent="0.25">
      <c r="A220" t="s">
        <v>152</v>
      </c>
      <c r="B220" t="s">
        <v>467</v>
      </c>
      <c r="C220" t="s">
        <v>558</v>
      </c>
      <c r="D220" t="s">
        <v>560</v>
      </c>
      <c r="E220" t="s">
        <v>564</v>
      </c>
      <c r="F220" t="s">
        <v>578</v>
      </c>
      <c r="G220">
        <v>456229.65</v>
      </c>
      <c r="H220">
        <v>20</v>
      </c>
      <c r="I220">
        <v>74773.13</v>
      </c>
      <c r="J220" t="str">
        <f>TEXT(DATE(2024,Table1[[#This Row],[Month2]],1),"mmmm")</f>
        <v>October</v>
      </c>
      <c r="K220">
        <v>10</v>
      </c>
      <c r="L220">
        <v>2025</v>
      </c>
    </row>
    <row r="221" spans="1:12" x14ac:dyDescent="0.25">
      <c r="A221" t="s">
        <v>18</v>
      </c>
      <c r="B221" t="s">
        <v>468</v>
      </c>
      <c r="C221" t="s">
        <v>551</v>
      </c>
      <c r="D221" t="s">
        <v>559</v>
      </c>
      <c r="E221" t="s">
        <v>563</v>
      </c>
      <c r="F221" t="s">
        <v>791</v>
      </c>
      <c r="G221">
        <v>335507.25</v>
      </c>
      <c r="H221">
        <v>27</v>
      </c>
      <c r="I221">
        <v>76807.960000000006</v>
      </c>
      <c r="J221" t="str">
        <f>TEXT(DATE(2024,Table1[[#This Row],[Month2]],1),"mmmm")</f>
        <v>September</v>
      </c>
      <c r="K221">
        <v>9</v>
      </c>
      <c r="L221">
        <v>2025</v>
      </c>
    </row>
    <row r="222" spans="1:12" x14ac:dyDescent="0.25">
      <c r="A222" t="s">
        <v>194</v>
      </c>
      <c r="B222" t="s">
        <v>469</v>
      </c>
      <c r="C222" t="s">
        <v>552</v>
      </c>
      <c r="D222" t="s">
        <v>561</v>
      </c>
      <c r="E222" t="s">
        <v>568</v>
      </c>
      <c r="F222" t="s">
        <v>792</v>
      </c>
      <c r="G222">
        <v>463087.96</v>
      </c>
      <c r="H222">
        <v>47</v>
      </c>
      <c r="I222">
        <v>81210.41</v>
      </c>
      <c r="J222" t="str">
        <f>TEXT(DATE(2024,Table1[[#This Row],[Month2]],1),"mmmm")</f>
        <v>January</v>
      </c>
      <c r="K222">
        <v>1</v>
      </c>
      <c r="L222">
        <v>2024</v>
      </c>
    </row>
    <row r="223" spans="1:12" x14ac:dyDescent="0.25">
      <c r="A223" t="s">
        <v>100</v>
      </c>
      <c r="B223" t="s">
        <v>470</v>
      </c>
      <c r="C223" t="s">
        <v>553</v>
      </c>
      <c r="D223" t="s">
        <v>561</v>
      </c>
      <c r="E223" t="s">
        <v>571</v>
      </c>
      <c r="F223" t="s">
        <v>793</v>
      </c>
      <c r="G223">
        <v>482109.52</v>
      </c>
      <c r="H223">
        <v>22</v>
      </c>
      <c r="I223">
        <v>96759.19</v>
      </c>
      <c r="J223" t="str">
        <f>TEXT(DATE(2024,Table1[[#This Row],[Month2]],1),"mmmm")</f>
        <v>March</v>
      </c>
      <c r="K223">
        <v>3</v>
      </c>
      <c r="L223">
        <v>2025</v>
      </c>
    </row>
    <row r="224" spans="1:12" x14ac:dyDescent="0.25">
      <c r="A224" t="s">
        <v>195</v>
      </c>
      <c r="B224" t="s">
        <v>471</v>
      </c>
      <c r="C224" t="s">
        <v>557</v>
      </c>
      <c r="D224" t="s">
        <v>559</v>
      </c>
      <c r="E224" t="s">
        <v>565</v>
      </c>
      <c r="F224" t="s">
        <v>794</v>
      </c>
      <c r="G224">
        <v>41368.32</v>
      </c>
      <c r="H224">
        <v>50</v>
      </c>
      <c r="I224">
        <v>7644.06</v>
      </c>
      <c r="J224" t="str">
        <f>TEXT(DATE(2024,Table1[[#This Row],[Month2]],1),"mmmm")</f>
        <v>February</v>
      </c>
      <c r="K224">
        <v>2</v>
      </c>
      <c r="L224">
        <v>2025</v>
      </c>
    </row>
    <row r="225" spans="1:12" x14ac:dyDescent="0.25">
      <c r="A225" t="s">
        <v>99</v>
      </c>
      <c r="B225" t="s">
        <v>472</v>
      </c>
      <c r="C225" t="s">
        <v>551</v>
      </c>
      <c r="D225" t="s">
        <v>561</v>
      </c>
      <c r="E225" t="s">
        <v>571</v>
      </c>
      <c r="F225" t="s">
        <v>795</v>
      </c>
      <c r="G225">
        <v>97537.2</v>
      </c>
      <c r="H225">
        <v>44</v>
      </c>
      <c r="I225">
        <v>19133.78</v>
      </c>
      <c r="J225" t="str">
        <f>TEXT(DATE(2024,Table1[[#This Row],[Month2]],1),"mmmm")</f>
        <v>April</v>
      </c>
      <c r="K225">
        <v>4</v>
      </c>
      <c r="L225">
        <v>2025</v>
      </c>
    </row>
    <row r="226" spans="1:12" x14ac:dyDescent="0.25">
      <c r="A226" t="s">
        <v>196</v>
      </c>
      <c r="B226" t="s">
        <v>473</v>
      </c>
      <c r="C226" t="s">
        <v>557</v>
      </c>
      <c r="D226" t="s">
        <v>560</v>
      </c>
      <c r="E226" t="s">
        <v>566</v>
      </c>
      <c r="F226" t="s">
        <v>796</v>
      </c>
      <c r="G226">
        <v>307488</v>
      </c>
      <c r="H226">
        <v>47</v>
      </c>
      <c r="I226">
        <v>76265.86</v>
      </c>
      <c r="J226" t="str">
        <f>TEXT(DATE(2024,Table1[[#This Row],[Month2]],1),"mmmm")</f>
        <v>October</v>
      </c>
      <c r="K226">
        <v>10</v>
      </c>
      <c r="L226">
        <v>2024</v>
      </c>
    </row>
    <row r="227" spans="1:12" x14ac:dyDescent="0.25">
      <c r="A227" t="s">
        <v>35</v>
      </c>
      <c r="B227" t="s">
        <v>474</v>
      </c>
      <c r="C227" t="s">
        <v>558</v>
      </c>
      <c r="D227" t="s">
        <v>561</v>
      </c>
      <c r="E227" t="s">
        <v>571</v>
      </c>
      <c r="F227" t="s">
        <v>797</v>
      </c>
      <c r="G227">
        <v>416956.95</v>
      </c>
      <c r="H227">
        <v>34</v>
      </c>
      <c r="I227">
        <v>22934.78</v>
      </c>
      <c r="J227" t="str">
        <f>TEXT(DATE(2024,Table1[[#This Row],[Month2]],1),"mmmm")</f>
        <v>March</v>
      </c>
      <c r="K227">
        <v>3</v>
      </c>
      <c r="L227">
        <v>2025</v>
      </c>
    </row>
    <row r="228" spans="1:12" x14ac:dyDescent="0.25">
      <c r="A228" t="s">
        <v>197</v>
      </c>
      <c r="B228" t="s">
        <v>475</v>
      </c>
      <c r="C228" t="s">
        <v>558</v>
      </c>
      <c r="D228" t="s">
        <v>560</v>
      </c>
      <c r="E228" t="s">
        <v>566</v>
      </c>
      <c r="F228" t="s">
        <v>798</v>
      </c>
      <c r="G228">
        <v>135293.19</v>
      </c>
      <c r="H228">
        <v>10</v>
      </c>
      <c r="I228">
        <v>13226.31</v>
      </c>
      <c r="J228" t="str">
        <f>TEXT(DATE(2024,Table1[[#This Row],[Month2]],1),"mmmm")</f>
        <v>March</v>
      </c>
      <c r="K228">
        <v>3</v>
      </c>
      <c r="L228">
        <v>2024</v>
      </c>
    </row>
    <row r="229" spans="1:12" x14ac:dyDescent="0.25">
      <c r="A229" t="s">
        <v>178</v>
      </c>
      <c r="B229" t="s">
        <v>476</v>
      </c>
      <c r="C229" t="s">
        <v>557</v>
      </c>
      <c r="D229" t="s">
        <v>561</v>
      </c>
      <c r="E229" t="s">
        <v>568</v>
      </c>
      <c r="F229" t="s">
        <v>799</v>
      </c>
      <c r="G229">
        <v>326326.21999999997</v>
      </c>
      <c r="H229">
        <v>18</v>
      </c>
      <c r="I229">
        <v>80206.92</v>
      </c>
      <c r="J229" t="str">
        <f>TEXT(DATE(2024,Table1[[#This Row],[Month2]],1),"mmmm")</f>
        <v>August</v>
      </c>
      <c r="K229">
        <v>8</v>
      </c>
      <c r="L229">
        <v>2024</v>
      </c>
    </row>
    <row r="230" spans="1:12" x14ac:dyDescent="0.25">
      <c r="A230" t="s">
        <v>118</v>
      </c>
      <c r="B230" t="s">
        <v>477</v>
      </c>
      <c r="C230" t="s">
        <v>555</v>
      </c>
      <c r="D230" t="s">
        <v>559</v>
      </c>
      <c r="E230" t="s">
        <v>567</v>
      </c>
      <c r="F230" t="s">
        <v>800</v>
      </c>
      <c r="G230">
        <v>472505.89</v>
      </c>
      <c r="H230">
        <v>48</v>
      </c>
      <c r="I230">
        <v>86117.87</v>
      </c>
      <c r="J230" t="str">
        <f>TEXT(DATE(2024,Table1[[#This Row],[Month2]],1),"mmmm")</f>
        <v>March</v>
      </c>
      <c r="K230">
        <v>3</v>
      </c>
      <c r="L230">
        <v>2024</v>
      </c>
    </row>
    <row r="231" spans="1:12" x14ac:dyDescent="0.25">
      <c r="A231" t="s">
        <v>198</v>
      </c>
      <c r="B231" t="s">
        <v>478</v>
      </c>
      <c r="C231" t="s">
        <v>550</v>
      </c>
      <c r="D231" t="s">
        <v>559</v>
      </c>
      <c r="E231" t="s">
        <v>562</v>
      </c>
      <c r="F231" t="s">
        <v>801</v>
      </c>
      <c r="G231">
        <v>204327.54</v>
      </c>
      <c r="H231">
        <v>32</v>
      </c>
      <c r="I231">
        <v>25567.03</v>
      </c>
      <c r="J231" t="str">
        <f>TEXT(DATE(2024,Table1[[#This Row],[Month2]],1),"mmmm")</f>
        <v>December</v>
      </c>
      <c r="K231">
        <v>12</v>
      </c>
      <c r="L231">
        <v>2025</v>
      </c>
    </row>
    <row r="232" spans="1:12" x14ac:dyDescent="0.25">
      <c r="A232" t="s">
        <v>199</v>
      </c>
      <c r="B232" t="s">
        <v>479</v>
      </c>
      <c r="C232" t="s">
        <v>550</v>
      </c>
      <c r="D232" t="s">
        <v>560</v>
      </c>
      <c r="E232" t="s">
        <v>564</v>
      </c>
      <c r="F232" t="s">
        <v>802</v>
      </c>
      <c r="G232">
        <v>286344.15999999997</v>
      </c>
      <c r="H232">
        <v>10</v>
      </c>
      <c r="I232">
        <v>52709.18</v>
      </c>
      <c r="J232" t="str">
        <f>TEXT(DATE(2024,Table1[[#This Row],[Month2]],1),"mmmm")</f>
        <v>November</v>
      </c>
      <c r="K232">
        <v>11</v>
      </c>
      <c r="L232">
        <v>2025</v>
      </c>
    </row>
    <row r="233" spans="1:12" x14ac:dyDescent="0.25">
      <c r="A233" t="s">
        <v>200</v>
      </c>
      <c r="B233" t="s">
        <v>480</v>
      </c>
      <c r="C233" t="s">
        <v>555</v>
      </c>
      <c r="D233" t="s">
        <v>560</v>
      </c>
      <c r="E233" t="s">
        <v>569</v>
      </c>
      <c r="F233" t="s">
        <v>803</v>
      </c>
      <c r="G233">
        <v>378738.84</v>
      </c>
      <c r="H233">
        <v>34</v>
      </c>
      <c r="I233">
        <v>41227.339999999997</v>
      </c>
      <c r="J233" t="str">
        <f>TEXT(DATE(2024,Table1[[#This Row],[Month2]],1),"mmmm")</f>
        <v>February</v>
      </c>
      <c r="K233">
        <v>2</v>
      </c>
      <c r="L233">
        <v>2024</v>
      </c>
    </row>
    <row r="234" spans="1:12" x14ac:dyDescent="0.25">
      <c r="A234" t="s">
        <v>201</v>
      </c>
      <c r="B234" t="s">
        <v>481</v>
      </c>
      <c r="C234" t="s">
        <v>552</v>
      </c>
      <c r="D234" t="s">
        <v>561</v>
      </c>
      <c r="E234" t="s">
        <v>572</v>
      </c>
      <c r="F234" t="s">
        <v>804</v>
      </c>
      <c r="G234">
        <v>124699.77</v>
      </c>
      <c r="H234">
        <v>40</v>
      </c>
      <c r="I234">
        <v>25293.759999999998</v>
      </c>
      <c r="J234" t="str">
        <f>TEXT(DATE(2024,Table1[[#This Row],[Month2]],1),"mmmm")</f>
        <v>August</v>
      </c>
      <c r="K234">
        <v>8</v>
      </c>
      <c r="L234">
        <v>2024</v>
      </c>
    </row>
    <row r="235" spans="1:12" x14ac:dyDescent="0.25">
      <c r="A235" t="s">
        <v>168</v>
      </c>
      <c r="B235" t="s">
        <v>482</v>
      </c>
      <c r="C235" t="s">
        <v>557</v>
      </c>
      <c r="D235" t="s">
        <v>560</v>
      </c>
      <c r="E235" t="s">
        <v>566</v>
      </c>
      <c r="F235" t="s">
        <v>805</v>
      </c>
      <c r="G235">
        <v>141625.34</v>
      </c>
      <c r="H235">
        <v>20</v>
      </c>
      <c r="I235">
        <v>12315.65</v>
      </c>
      <c r="J235" t="str">
        <f>TEXT(DATE(2024,Table1[[#This Row],[Month2]],1),"mmmm")</f>
        <v>February</v>
      </c>
      <c r="K235">
        <v>2</v>
      </c>
      <c r="L235">
        <v>2025</v>
      </c>
    </row>
    <row r="236" spans="1:12" x14ac:dyDescent="0.25">
      <c r="A236" t="s">
        <v>202</v>
      </c>
      <c r="B236" t="s">
        <v>483</v>
      </c>
      <c r="C236" t="s">
        <v>556</v>
      </c>
      <c r="D236" t="s">
        <v>561</v>
      </c>
      <c r="E236" t="s">
        <v>572</v>
      </c>
      <c r="F236" t="s">
        <v>806</v>
      </c>
      <c r="G236">
        <v>216414.02</v>
      </c>
      <c r="H236">
        <v>21</v>
      </c>
      <c r="I236">
        <v>37565.199999999997</v>
      </c>
      <c r="J236" t="str">
        <f>TEXT(DATE(2024,Table1[[#This Row],[Month2]],1),"mmmm")</f>
        <v>January</v>
      </c>
      <c r="K236">
        <v>1</v>
      </c>
      <c r="L236">
        <v>2024</v>
      </c>
    </row>
    <row r="237" spans="1:12" x14ac:dyDescent="0.25">
      <c r="A237" t="s">
        <v>203</v>
      </c>
      <c r="B237" t="s">
        <v>484</v>
      </c>
      <c r="C237" t="s">
        <v>550</v>
      </c>
      <c r="D237" t="s">
        <v>560</v>
      </c>
      <c r="E237" t="s">
        <v>569</v>
      </c>
      <c r="F237" t="s">
        <v>807</v>
      </c>
      <c r="G237">
        <v>406223.98</v>
      </c>
      <c r="H237">
        <v>37</v>
      </c>
      <c r="I237">
        <v>45453.43</v>
      </c>
      <c r="J237" t="str">
        <f>TEXT(DATE(2024,Table1[[#This Row],[Month2]],1),"mmmm")</f>
        <v>August</v>
      </c>
      <c r="K237">
        <v>8</v>
      </c>
      <c r="L237">
        <v>2024</v>
      </c>
    </row>
    <row r="238" spans="1:12" x14ac:dyDescent="0.25">
      <c r="A238" t="s">
        <v>204</v>
      </c>
      <c r="B238" t="s">
        <v>485</v>
      </c>
      <c r="C238" t="s">
        <v>553</v>
      </c>
      <c r="D238" t="s">
        <v>559</v>
      </c>
      <c r="E238" t="s">
        <v>562</v>
      </c>
      <c r="F238" t="s">
        <v>808</v>
      </c>
      <c r="G238">
        <v>423935.47</v>
      </c>
      <c r="H238">
        <v>22</v>
      </c>
      <c r="I238">
        <v>39671.589999999997</v>
      </c>
      <c r="J238" t="str">
        <f>TEXT(DATE(2024,Table1[[#This Row],[Month2]],1),"mmmm")</f>
        <v>September</v>
      </c>
      <c r="K238">
        <v>9</v>
      </c>
      <c r="L238">
        <v>2024</v>
      </c>
    </row>
    <row r="239" spans="1:12" x14ac:dyDescent="0.25">
      <c r="A239" t="s">
        <v>91</v>
      </c>
      <c r="B239" t="s">
        <v>486</v>
      </c>
      <c r="C239" t="s">
        <v>554</v>
      </c>
      <c r="D239" t="s">
        <v>559</v>
      </c>
      <c r="E239" t="s">
        <v>562</v>
      </c>
      <c r="F239" t="s">
        <v>809</v>
      </c>
      <c r="G239">
        <v>75842.33</v>
      </c>
      <c r="H239">
        <v>17</v>
      </c>
      <c r="I239">
        <v>5932.6</v>
      </c>
      <c r="J239" t="str">
        <f>TEXT(DATE(2024,Table1[[#This Row],[Month2]],1),"mmmm")</f>
        <v>July</v>
      </c>
      <c r="K239">
        <v>7</v>
      </c>
      <c r="L239">
        <v>2024</v>
      </c>
    </row>
    <row r="240" spans="1:12" x14ac:dyDescent="0.25">
      <c r="A240" t="s">
        <v>121</v>
      </c>
      <c r="B240" t="s">
        <v>487</v>
      </c>
      <c r="C240" t="s">
        <v>553</v>
      </c>
      <c r="D240" t="s">
        <v>560</v>
      </c>
      <c r="E240" t="s">
        <v>573</v>
      </c>
      <c r="F240" t="s">
        <v>810</v>
      </c>
      <c r="G240">
        <v>279305.42</v>
      </c>
      <c r="H240">
        <v>8</v>
      </c>
      <c r="I240">
        <v>42103.68</v>
      </c>
      <c r="J240" t="str">
        <f>TEXT(DATE(2024,Table1[[#This Row],[Month2]],1),"mmmm")</f>
        <v>August</v>
      </c>
      <c r="K240">
        <v>8</v>
      </c>
      <c r="L240">
        <v>2025</v>
      </c>
    </row>
    <row r="241" spans="1:12" x14ac:dyDescent="0.25">
      <c r="A241" t="s">
        <v>205</v>
      </c>
      <c r="B241" t="s">
        <v>488</v>
      </c>
      <c r="C241" t="s">
        <v>557</v>
      </c>
      <c r="D241" t="s">
        <v>560</v>
      </c>
      <c r="E241" t="s">
        <v>569</v>
      </c>
      <c r="F241" t="s">
        <v>811</v>
      </c>
      <c r="G241">
        <v>409727.32</v>
      </c>
      <c r="H241">
        <v>3</v>
      </c>
      <c r="I241">
        <v>95228.37</v>
      </c>
      <c r="J241" t="str">
        <f>TEXT(DATE(2024,Table1[[#This Row],[Month2]],1),"mmmm")</f>
        <v>January</v>
      </c>
      <c r="K241">
        <v>1</v>
      </c>
      <c r="L241">
        <v>2025</v>
      </c>
    </row>
    <row r="242" spans="1:12" x14ac:dyDescent="0.25">
      <c r="A242" t="s">
        <v>206</v>
      </c>
      <c r="B242" t="s">
        <v>489</v>
      </c>
      <c r="C242" t="s">
        <v>553</v>
      </c>
      <c r="D242" t="s">
        <v>559</v>
      </c>
      <c r="E242" t="s">
        <v>567</v>
      </c>
      <c r="F242" t="s">
        <v>812</v>
      </c>
      <c r="G242">
        <v>393810.69</v>
      </c>
      <c r="H242">
        <v>9</v>
      </c>
      <c r="I242">
        <v>37251.440000000002</v>
      </c>
      <c r="J242" t="str">
        <f>TEXT(DATE(2024,Table1[[#This Row],[Month2]],1),"mmmm")</f>
        <v>October</v>
      </c>
      <c r="K242">
        <v>10</v>
      </c>
      <c r="L242">
        <v>2024</v>
      </c>
    </row>
    <row r="243" spans="1:12" x14ac:dyDescent="0.25">
      <c r="A243" t="s">
        <v>207</v>
      </c>
      <c r="B243" t="s">
        <v>490</v>
      </c>
      <c r="C243" t="s">
        <v>550</v>
      </c>
      <c r="D243" t="s">
        <v>561</v>
      </c>
      <c r="E243" t="s">
        <v>572</v>
      </c>
      <c r="F243" t="s">
        <v>813</v>
      </c>
      <c r="G243">
        <v>177376.38</v>
      </c>
      <c r="H243">
        <v>50</v>
      </c>
      <c r="I243">
        <v>40035.19</v>
      </c>
      <c r="J243" t="str">
        <f>TEXT(DATE(2024,Table1[[#This Row],[Month2]],1),"mmmm")</f>
        <v>April</v>
      </c>
      <c r="K243">
        <v>4</v>
      </c>
      <c r="L243">
        <v>2024</v>
      </c>
    </row>
    <row r="244" spans="1:12" x14ac:dyDescent="0.25">
      <c r="A244" t="s">
        <v>208</v>
      </c>
      <c r="B244" t="s">
        <v>491</v>
      </c>
      <c r="C244" t="s">
        <v>549</v>
      </c>
      <c r="D244" t="s">
        <v>559</v>
      </c>
      <c r="E244" t="s">
        <v>565</v>
      </c>
      <c r="F244" t="s">
        <v>814</v>
      </c>
      <c r="G244">
        <v>130592.61</v>
      </c>
      <c r="H244">
        <v>12</v>
      </c>
      <c r="I244">
        <v>26153.86</v>
      </c>
      <c r="J244" t="str">
        <f>TEXT(DATE(2024,Table1[[#This Row],[Month2]],1),"mmmm")</f>
        <v>August</v>
      </c>
      <c r="K244">
        <v>8</v>
      </c>
      <c r="L244">
        <v>2025</v>
      </c>
    </row>
    <row r="245" spans="1:12" x14ac:dyDescent="0.25">
      <c r="A245" t="s">
        <v>209</v>
      </c>
      <c r="B245" t="s">
        <v>492</v>
      </c>
      <c r="C245" t="s">
        <v>556</v>
      </c>
      <c r="D245" t="s">
        <v>560</v>
      </c>
      <c r="E245" t="s">
        <v>573</v>
      </c>
      <c r="F245" t="s">
        <v>815</v>
      </c>
      <c r="G245">
        <v>394458.18</v>
      </c>
      <c r="H245">
        <v>48</v>
      </c>
      <c r="I245">
        <v>32313.08</v>
      </c>
      <c r="J245" t="str">
        <f>TEXT(DATE(2024,Table1[[#This Row],[Month2]],1),"mmmm")</f>
        <v>April</v>
      </c>
      <c r="K245">
        <v>4</v>
      </c>
      <c r="L245">
        <v>2025</v>
      </c>
    </row>
    <row r="246" spans="1:12" x14ac:dyDescent="0.25">
      <c r="A246" t="s">
        <v>210</v>
      </c>
      <c r="B246" t="s">
        <v>493</v>
      </c>
      <c r="C246" t="s">
        <v>554</v>
      </c>
      <c r="D246" t="s">
        <v>559</v>
      </c>
      <c r="E246" t="s">
        <v>562</v>
      </c>
      <c r="F246" t="s">
        <v>816</v>
      </c>
      <c r="G246">
        <v>425339.26</v>
      </c>
      <c r="H246">
        <v>27</v>
      </c>
      <c r="I246">
        <v>62557.48</v>
      </c>
      <c r="J246" t="str">
        <f>TEXT(DATE(2024,Table1[[#This Row],[Month2]],1),"mmmm")</f>
        <v>January</v>
      </c>
      <c r="K246">
        <v>1</v>
      </c>
      <c r="L246">
        <v>2025</v>
      </c>
    </row>
    <row r="247" spans="1:12" x14ac:dyDescent="0.25">
      <c r="A247" t="s">
        <v>211</v>
      </c>
      <c r="B247" t="s">
        <v>494</v>
      </c>
      <c r="C247" t="s">
        <v>555</v>
      </c>
      <c r="D247" t="s">
        <v>560</v>
      </c>
      <c r="E247" t="s">
        <v>566</v>
      </c>
      <c r="F247" t="s">
        <v>817</v>
      </c>
      <c r="G247">
        <v>489055.82</v>
      </c>
      <c r="H247">
        <v>12</v>
      </c>
      <c r="I247">
        <v>41830.300000000003</v>
      </c>
      <c r="J247" t="str">
        <f>TEXT(DATE(2024,Table1[[#This Row],[Month2]],1),"mmmm")</f>
        <v>September</v>
      </c>
      <c r="K247">
        <v>9</v>
      </c>
      <c r="L247">
        <v>2024</v>
      </c>
    </row>
    <row r="248" spans="1:12" x14ac:dyDescent="0.25">
      <c r="A248" t="s">
        <v>212</v>
      </c>
      <c r="B248" t="s">
        <v>495</v>
      </c>
      <c r="C248" t="s">
        <v>556</v>
      </c>
      <c r="D248" t="s">
        <v>559</v>
      </c>
      <c r="E248" t="s">
        <v>563</v>
      </c>
      <c r="F248" t="s">
        <v>818</v>
      </c>
      <c r="G248">
        <v>387092.87</v>
      </c>
      <c r="H248">
        <v>17</v>
      </c>
      <c r="I248">
        <v>96144.45</v>
      </c>
      <c r="J248" t="str">
        <f>TEXT(DATE(2024,Table1[[#This Row],[Month2]],1),"mmmm")</f>
        <v>August</v>
      </c>
      <c r="K248">
        <v>8</v>
      </c>
      <c r="L248">
        <v>2025</v>
      </c>
    </row>
    <row r="249" spans="1:12" x14ac:dyDescent="0.25">
      <c r="A249" t="s">
        <v>213</v>
      </c>
      <c r="B249" t="s">
        <v>496</v>
      </c>
      <c r="C249" t="s">
        <v>553</v>
      </c>
      <c r="D249" t="s">
        <v>560</v>
      </c>
      <c r="E249" t="s">
        <v>573</v>
      </c>
      <c r="F249" t="s">
        <v>819</v>
      </c>
      <c r="G249">
        <v>149168.15</v>
      </c>
      <c r="H249">
        <v>9</v>
      </c>
      <c r="I249">
        <v>14213.91</v>
      </c>
      <c r="J249" t="str">
        <f>TEXT(DATE(2024,Table1[[#This Row],[Month2]],1),"mmmm")</f>
        <v>April</v>
      </c>
      <c r="K249">
        <v>4</v>
      </c>
      <c r="L249">
        <v>2024</v>
      </c>
    </row>
    <row r="250" spans="1:12" x14ac:dyDescent="0.25">
      <c r="A250" t="s">
        <v>214</v>
      </c>
      <c r="B250" t="s">
        <v>497</v>
      </c>
      <c r="C250" t="s">
        <v>557</v>
      </c>
      <c r="D250" t="s">
        <v>561</v>
      </c>
      <c r="E250" t="s">
        <v>568</v>
      </c>
      <c r="F250" t="s">
        <v>820</v>
      </c>
      <c r="G250">
        <v>363999.82</v>
      </c>
      <c r="H250">
        <v>15</v>
      </c>
      <c r="I250">
        <v>25880.78</v>
      </c>
      <c r="J250" t="str">
        <f>TEXT(DATE(2024,Table1[[#This Row],[Month2]],1),"mmmm")</f>
        <v>December</v>
      </c>
      <c r="K250">
        <v>12</v>
      </c>
      <c r="L250">
        <v>2024</v>
      </c>
    </row>
    <row r="251" spans="1:12" x14ac:dyDescent="0.25">
      <c r="A251" t="s">
        <v>215</v>
      </c>
      <c r="B251" t="s">
        <v>498</v>
      </c>
      <c r="C251" t="s">
        <v>550</v>
      </c>
      <c r="D251" t="s">
        <v>561</v>
      </c>
      <c r="E251" t="s">
        <v>571</v>
      </c>
      <c r="F251" t="s">
        <v>821</v>
      </c>
      <c r="G251">
        <v>381854.47</v>
      </c>
      <c r="H251">
        <v>20</v>
      </c>
      <c r="I251">
        <v>26875.82</v>
      </c>
      <c r="J251" t="str">
        <f>TEXT(DATE(2024,Table1[[#This Row],[Month2]],1),"mmmm")</f>
        <v>March</v>
      </c>
      <c r="K251">
        <v>3</v>
      </c>
      <c r="L251">
        <v>2025</v>
      </c>
    </row>
    <row r="252" spans="1:12" x14ac:dyDescent="0.25">
      <c r="A252" t="s">
        <v>134</v>
      </c>
      <c r="B252" t="s">
        <v>499</v>
      </c>
      <c r="C252" t="s">
        <v>550</v>
      </c>
      <c r="D252" t="s">
        <v>559</v>
      </c>
      <c r="E252" t="s">
        <v>563</v>
      </c>
      <c r="F252" t="s">
        <v>822</v>
      </c>
      <c r="G252">
        <v>89709.29</v>
      </c>
      <c r="H252">
        <v>27</v>
      </c>
      <c r="I252">
        <v>5657.75</v>
      </c>
      <c r="J252" t="str">
        <f>TEXT(DATE(2024,Table1[[#This Row],[Month2]],1),"mmmm")</f>
        <v>December</v>
      </c>
      <c r="K252">
        <v>12</v>
      </c>
      <c r="L252">
        <v>2025</v>
      </c>
    </row>
    <row r="253" spans="1:12" x14ac:dyDescent="0.25">
      <c r="A253" t="s">
        <v>129</v>
      </c>
      <c r="B253" t="s">
        <v>500</v>
      </c>
      <c r="C253" t="s">
        <v>554</v>
      </c>
      <c r="D253" t="s">
        <v>560</v>
      </c>
      <c r="E253" t="s">
        <v>573</v>
      </c>
      <c r="F253" t="s">
        <v>823</v>
      </c>
      <c r="G253">
        <v>67952.22</v>
      </c>
      <c r="H253">
        <v>22</v>
      </c>
      <c r="I253">
        <v>15178.26</v>
      </c>
      <c r="J253" t="str">
        <f>TEXT(DATE(2024,Table1[[#This Row],[Month2]],1),"mmmm")</f>
        <v>August</v>
      </c>
      <c r="K253">
        <v>8</v>
      </c>
      <c r="L253">
        <v>2025</v>
      </c>
    </row>
    <row r="254" spans="1:12" x14ac:dyDescent="0.25">
      <c r="A254" t="s">
        <v>216</v>
      </c>
      <c r="B254" t="s">
        <v>501</v>
      </c>
      <c r="C254" t="s">
        <v>550</v>
      </c>
      <c r="D254" t="s">
        <v>560</v>
      </c>
      <c r="E254" t="s">
        <v>569</v>
      </c>
      <c r="F254" t="s">
        <v>824</v>
      </c>
      <c r="G254">
        <v>359508.89</v>
      </c>
      <c r="H254">
        <v>2</v>
      </c>
      <c r="I254">
        <v>76237.27</v>
      </c>
      <c r="J254" t="str">
        <f>TEXT(DATE(2024,Table1[[#This Row],[Month2]],1),"mmmm")</f>
        <v>November</v>
      </c>
      <c r="K254">
        <v>11</v>
      </c>
      <c r="L254">
        <v>2025</v>
      </c>
    </row>
    <row r="255" spans="1:12" x14ac:dyDescent="0.25">
      <c r="A255" t="s">
        <v>217</v>
      </c>
      <c r="B255" t="s">
        <v>502</v>
      </c>
      <c r="C255" t="s">
        <v>550</v>
      </c>
      <c r="D255" t="s">
        <v>561</v>
      </c>
      <c r="E255" t="s">
        <v>572</v>
      </c>
      <c r="F255" t="s">
        <v>825</v>
      </c>
      <c r="G255">
        <v>21242.42</v>
      </c>
      <c r="H255">
        <v>13</v>
      </c>
      <c r="I255">
        <v>4487.3999999999996</v>
      </c>
      <c r="J255" t="str">
        <f>TEXT(DATE(2024,Table1[[#This Row],[Month2]],1),"mmmm")</f>
        <v>May</v>
      </c>
      <c r="K255">
        <v>5</v>
      </c>
      <c r="L255">
        <v>2024</v>
      </c>
    </row>
    <row r="256" spans="1:12" x14ac:dyDescent="0.25">
      <c r="A256" t="s">
        <v>218</v>
      </c>
      <c r="B256" t="s">
        <v>503</v>
      </c>
      <c r="C256" t="s">
        <v>557</v>
      </c>
      <c r="D256" t="s">
        <v>561</v>
      </c>
      <c r="E256" t="s">
        <v>568</v>
      </c>
      <c r="F256" t="s">
        <v>826</v>
      </c>
      <c r="G256">
        <v>272704.90999999997</v>
      </c>
      <c r="H256">
        <v>45</v>
      </c>
      <c r="I256">
        <v>16391.38</v>
      </c>
      <c r="J256" t="str">
        <f>TEXT(DATE(2024,Table1[[#This Row],[Month2]],1),"mmmm")</f>
        <v>July</v>
      </c>
      <c r="K256">
        <v>7</v>
      </c>
      <c r="L256">
        <v>2025</v>
      </c>
    </row>
    <row r="257" spans="1:12" x14ac:dyDescent="0.25">
      <c r="A257" t="s">
        <v>219</v>
      </c>
      <c r="B257" t="s">
        <v>504</v>
      </c>
      <c r="C257" t="s">
        <v>558</v>
      </c>
      <c r="D257" t="s">
        <v>561</v>
      </c>
      <c r="E257" t="s">
        <v>571</v>
      </c>
      <c r="F257" t="s">
        <v>827</v>
      </c>
      <c r="G257">
        <v>381842.03</v>
      </c>
      <c r="H257">
        <v>21</v>
      </c>
      <c r="I257">
        <v>24592.62</v>
      </c>
      <c r="J257" t="str">
        <f>TEXT(DATE(2024,Table1[[#This Row],[Month2]],1),"mmmm")</f>
        <v>September</v>
      </c>
      <c r="K257">
        <v>9</v>
      </c>
      <c r="L257">
        <v>2024</v>
      </c>
    </row>
    <row r="258" spans="1:12" x14ac:dyDescent="0.25">
      <c r="A258" t="s">
        <v>220</v>
      </c>
      <c r="B258" t="s">
        <v>505</v>
      </c>
      <c r="C258" t="s">
        <v>550</v>
      </c>
      <c r="D258" t="s">
        <v>561</v>
      </c>
      <c r="E258" t="s">
        <v>571</v>
      </c>
      <c r="F258" t="s">
        <v>828</v>
      </c>
      <c r="G258">
        <v>316460.69</v>
      </c>
      <c r="H258">
        <v>41</v>
      </c>
      <c r="I258">
        <v>68464.789999999994</v>
      </c>
      <c r="J258" t="str">
        <f>TEXT(DATE(2024,Table1[[#This Row],[Month2]],1),"mmmm")</f>
        <v>November</v>
      </c>
      <c r="K258">
        <v>11</v>
      </c>
      <c r="L258">
        <v>2024</v>
      </c>
    </row>
    <row r="259" spans="1:12" x14ac:dyDescent="0.25">
      <c r="A259" t="s">
        <v>221</v>
      </c>
      <c r="B259" t="s">
        <v>506</v>
      </c>
      <c r="C259" t="s">
        <v>551</v>
      </c>
      <c r="D259" t="s">
        <v>559</v>
      </c>
      <c r="E259" t="s">
        <v>563</v>
      </c>
      <c r="F259" t="s">
        <v>829</v>
      </c>
      <c r="G259">
        <v>127025.86</v>
      </c>
      <c r="H259">
        <v>3</v>
      </c>
      <c r="I259">
        <v>10683.41</v>
      </c>
      <c r="J259" t="str">
        <f>TEXT(DATE(2024,Table1[[#This Row],[Month2]],1),"mmmm")</f>
        <v>March</v>
      </c>
      <c r="K259">
        <v>3</v>
      </c>
      <c r="L259">
        <v>2024</v>
      </c>
    </row>
    <row r="260" spans="1:12" x14ac:dyDescent="0.25">
      <c r="A260" t="s">
        <v>105</v>
      </c>
      <c r="B260" t="s">
        <v>507</v>
      </c>
      <c r="C260" t="s">
        <v>554</v>
      </c>
      <c r="D260" t="s">
        <v>559</v>
      </c>
      <c r="E260" t="s">
        <v>567</v>
      </c>
      <c r="F260" t="s">
        <v>830</v>
      </c>
      <c r="G260">
        <v>12698.11</v>
      </c>
      <c r="H260">
        <v>31</v>
      </c>
      <c r="I260">
        <v>1730.58</v>
      </c>
      <c r="J260" t="str">
        <f>TEXT(DATE(2024,Table1[[#This Row],[Month2]],1),"mmmm")</f>
        <v>July</v>
      </c>
      <c r="K260">
        <v>7</v>
      </c>
      <c r="L260">
        <v>2025</v>
      </c>
    </row>
    <row r="261" spans="1:12" x14ac:dyDescent="0.25">
      <c r="A261" t="s">
        <v>88</v>
      </c>
      <c r="B261" t="s">
        <v>508</v>
      </c>
      <c r="C261" t="s">
        <v>557</v>
      </c>
      <c r="D261" t="s">
        <v>561</v>
      </c>
      <c r="E261" t="s">
        <v>570</v>
      </c>
      <c r="F261" t="s">
        <v>831</v>
      </c>
      <c r="G261">
        <v>369027.34</v>
      </c>
      <c r="H261">
        <v>25</v>
      </c>
      <c r="I261">
        <v>84742.98</v>
      </c>
      <c r="J261" t="str">
        <f>TEXT(DATE(2024,Table1[[#This Row],[Month2]],1),"mmmm")</f>
        <v>April</v>
      </c>
      <c r="K261">
        <v>4</v>
      </c>
      <c r="L261">
        <v>2025</v>
      </c>
    </row>
    <row r="262" spans="1:12" x14ac:dyDescent="0.25">
      <c r="A262" t="s">
        <v>79</v>
      </c>
      <c r="B262" t="s">
        <v>509</v>
      </c>
      <c r="C262" t="s">
        <v>557</v>
      </c>
      <c r="D262" t="s">
        <v>561</v>
      </c>
      <c r="E262" t="s">
        <v>572</v>
      </c>
      <c r="F262" t="s">
        <v>832</v>
      </c>
      <c r="G262">
        <v>251173.34</v>
      </c>
      <c r="H262">
        <v>30</v>
      </c>
      <c r="I262">
        <v>42397.53</v>
      </c>
      <c r="J262" t="str">
        <f>TEXT(DATE(2024,Table1[[#This Row],[Month2]],1),"mmmm")</f>
        <v>October</v>
      </c>
      <c r="K262">
        <v>10</v>
      </c>
      <c r="L262">
        <v>2024</v>
      </c>
    </row>
    <row r="263" spans="1:12" x14ac:dyDescent="0.25">
      <c r="A263" t="s">
        <v>222</v>
      </c>
      <c r="B263" t="s">
        <v>510</v>
      </c>
      <c r="C263" t="s">
        <v>549</v>
      </c>
      <c r="D263" t="s">
        <v>560</v>
      </c>
      <c r="E263" t="s">
        <v>569</v>
      </c>
      <c r="F263" t="s">
        <v>833</v>
      </c>
      <c r="G263">
        <v>46416.07</v>
      </c>
      <c r="H263">
        <v>12</v>
      </c>
      <c r="I263">
        <v>8519.07</v>
      </c>
      <c r="J263" t="str">
        <f>TEXT(DATE(2024,Table1[[#This Row],[Month2]],1),"mmmm")</f>
        <v>May</v>
      </c>
      <c r="K263">
        <v>5</v>
      </c>
      <c r="L263">
        <v>2025</v>
      </c>
    </row>
    <row r="264" spans="1:12" x14ac:dyDescent="0.25">
      <c r="A264" t="s">
        <v>223</v>
      </c>
      <c r="B264" t="s">
        <v>511</v>
      </c>
      <c r="C264" t="s">
        <v>549</v>
      </c>
      <c r="D264" t="s">
        <v>561</v>
      </c>
      <c r="E264" t="s">
        <v>570</v>
      </c>
      <c r="F264" t="s">
        <v>834</v>
      </c>
      <c r="G264">
        <v>450994.11</v>
      </c>
      <c r="H264">
        <v>35</v>
      </c>
      <c r="I264">
        <v>79001.33</v>
      </c>
      <c r="J264" t="str">
        <f>TEXT(DATE(2024,Table1[[#This Row],[Month2]],1),"mmmm")</f>
        <v>January</v>
      </c>
      <c r="K264">
        <v>1</v>
      </c>
      <c r="L264">
        <v>2024</v>
      </c>
    </row>
    <row r="265" spans="1:12" x14ac:dyDescent="0.25">
      <c r="A265" t="s">
        <v>224</v>
      </c>
      <c r="B265" t="s">
        <v>512</v>
      </c>
      <c r="C265" t="s">
        <v>550</v>
      </c>
      <c r="D265" t="s">
        <v>559</v>
      </c>
      <c r="E265" t="s">
        <v>563</v>
      </c>
      <c r="F265" t="s">
        <v>835</v>
      </c>
      <c r="G265">
        <v>339212.18</v>
      </c>
      <c r="H265">
        <v>18</v>
      </c>
      <c r="I265">
        <v>64848.4</v>
      </c>
      <c r="J265" t="str">
        <f>TEXT(DATE(2024,Table1[[#This Row],[Month2]],1),"mmmm")</f>
        <v>December</v>
      </c>
      <c r="K265">
        <v>12</v>
      </c>
      <c r="L265">
        <v>2024</v>
      </c>
    </row>
    <row r="266" spans="1:12" x14ac:dyDescent="0.25">
      <c r="A266" t="s">
        <v>225</v>
      </c>
      <c r="B266" t="s">
        <v>513</v>
      </c>
      <c r="C266" t="s">
        <v>551</v>
      </c>
      <c r="D266" t="s">
        <v>559</v>
      </c>
      <c r="E266" t="s">
        <v>565</v>
      </c>
      <c r="F266" t="s">
        <v>836</v>
      </c>
      <c r="G266">
        <v>470205.03</v>
      </c>
      <c r="H266">
        <v>50</v>
      </c>
      <c r="I266">
        <v>83700.28</v>
      </c>
      <c r="J266" t="str">
        <f>TEXT(DATE(2024,Table1[[#This Row],[Month2]],1),"mmmm")</f>
        <v>May</v>
      </c>
      <c r="K266">
        <v>5</v>
      </c>
      <c r="L266">
        <v>2024</v>
      </c>
    </row>
    <row r="267" spans="1:12" x14ac:dyDescent="0.25">
      <c r="A267" t="s">
        <v>226</v>
      </c>
      <c r="B267" t="s">
        <v>514</v>
      </c>
      <c r="C267" t="s">
        <v>558</v>
      </c>
      <c r="D267" t="s">
        <v>559</v>
      </c>
      <c r="E267" t="s">
        <v>565</v>
      </c>
      <c r="F267" t="s">
        <v>837</v>
      </c>
      <c r="G267">
        <v>437776.77</v>
      </c>
      <c r="H267">
        <v>16</v>
      </c>
      <c r="I267">
        <v>91632.85</v>
      </c>
      <c r="J267" t="str">
        <f>TEXT(DATE(2024,Table1[[#This Row],[Month2]],1),"mmmm")</f>
        <v>May</v>
      </c>
      <c r="K267">
        <v>5</v>
      </c>
      <c r="L267">
        <v>2024</v>
      </c>
    </row>
    <row r="268" spans="1:12" x14ac:dyDescent="0.25">
      <c r="A268" t="s">
        <v>227</v>
      </c>
      <c r="B268" t="s">
        <v>515</v>
      </c>
      <c r="C268" t="s">
        <v>552</v>
      </c>
      <c r="D268" t="s">
        <v>561</v>
      </c>
      <c r="E268" t="s">
        <v>572</v>
      </c>
      <c r="F268" t="s">
        <v>838</v>
      </c>
      <c r="G268">
        <v>78401.47</v>
      </c>
      <c r="H268">
        <v>15</v>
      </c>
      <c r="I268">
        <v>7066.67</v>
      </c>
      <c r="J268" t="str">
        <f>TEXT(DATE(2024,Table1[[#This Row],[Month2]],1),"mmmm")</f>
        <v>April</v>
      </c>
      <c r="K268">
        <v>4</v>
      </c>
      <c r="L268">
        <v>2024</v>
      </c>
    </row>
    <row r="269" spans="1:12" x14ac:dyDescent="0.25">
      <c r="A269" t="s">
        <v>228</v>
      </c>
      <c r="B269" t="s">
        <v>516</v>
      </c>
      <c r="C269" t="s">
        <v>552</v>
      </c>
      <c r="D269" t="s">
        <v>561</v>
      </c>
      <c r="E269" t="s">
        <v>571</v>
      </c>
      <c r="F269" t="s">
        <v>839</v>
      </c>
      <c r="G269">
        <v>237722.13</v>
      </c>
      <c r="H269">
        <v>4</v>
      </c>
      <c r="I269">
        <v>31689.19</v>
      </c>
      <c r="J269" t="str">
        <f>TEXT(DATE(2024,Table1[[#This Row],[Month2]],1),"mmmm")</f>
        <v>September</v>
      </c>
      <c r="K269">
        <v>9</v>
      </c>
      <c r="L269">
        <v>2025</v>
      </c>
    </row>
    <row r="270" spans="1:12" x14ac:dyDescent="0.25">
      <c r="A270" t="s">
        <v>186</v>
      </c>
      <c r="B270" t="s">
        <v>517</v>
      </c>
      <c r="C270" t="s">
        <v>554</v>
      </c>
      <c r="D270" t="s">
        <v>560</v>
      </c>
      <c r="E270" t="s">
        <v>573</v>
      </c>
      <c r="F270" t="s">
        <v>840</v>
      </c>
      <c r="G270">
        <v>243715.91</v>
      </c>
      <c r="H270">
        <v>39</v>
      </c>
      <c r="I270">
        <v>53546.98</v>
      </c>
      <c r="J270" t="str">
        <f>TEXT(DATE(2024,Table1[[#This Row],[Month2]],1),"mmmm")</f>
        <v>June</v>
      </c>
      <c r="K270">
        <v>6</v>
      </c>
      <c r="L270">
        <v>2024</v>
      </c>
    </row>
    <row r="271" spans="1:12" x14ac:dyDescent="0.25">
      <c r="A271" t="s">
        <v>153</v>
      </c>
      <c r="B271" t="s">
        <v>518</v>
      </c>
      <c r="C271" t="s">
        <v>556</v>
      </c>
      <c r="D271" t="s">
        <v>560</v>
      </c>
      <c r="E271" t="s">
        <v>573</v>
      </c>
      <c r="F271" t="s">
        <v>841</v>
      </c>
      <c r="G271">
        <v>496506.56</v>
      </c>
      <c r="H271">
        <v>18</v>
      </c>
      <c r="I271">
        <v>81957.990000000005</v>
      </c>
      <c r="J271" t="str">
        <f>TEXT(DATE(2024,Table1[[#This Row],[Month2]],1),"mmmm")</f>
        <v>March</v>
      </c>
      <c r="K271">
        <v>3</v>
      </c>
      <c r="L271">
        <v>2024</v>
      </c>
    </row>
    <row r="272" spans="1:12" x14ac:dyDescent="0.25">
      <c r="A272" t="s">
        <v>229</v>
      </c>
      <c r="B272" t="s">
        <v>519</v>
      </c>
      <c r="C272" t="s">
        <v>554</v>
      </c>
      <c r="D272" t="s">
        <v>560</v>
      </c>
      <c r="E272" t="s">
        <v>566</v>
      </c>
      <c r="F272" t="s">
        <v>842</v>
      </c>
      <c r="G272">
        <v>275506.69</v>
      </c>
      <c r="H272">
        <v>40</v>
      </c>
      <c r="I272">
        <v>46558.16</v>
      </c>
      <c r="J272" t="str">
        <f>TEXT(DATE(2024,Table1[[#This Row],[Month2]],1),"mmmm")</f>
        <v>May</v>
      </c>
      <c r="K272">
        <v>5</v>
      </c>
      <c r="L272">
        <v>2025</v>
      </c>
    </row>
    <row r="273" spans="1:12" x14ac:dyDescent="0.25">
      <c r="A273" t="s">
        <v>230</v>
      </c>
      <c r="B273" t="s">
        <v>520</v>
      </c>
      <c r="C273" t="s">
        <v>549</v>
      </c>
      <c r="D273" t="s">
        <v>561</v>
      </c>
      <c r="E273" t="s">
        <v>571</v>
      </c>
      <c r="F273" t="s">
        <v>843</v>
      </c>
      <c r="G273">
        <v>113843.38</v>
      </c>
      <c r="H273">
        <v>35</v>
      </c>
      <c r="I273">
        <v>9401.51</v>
      </c>
      <c r="J273" t="str">
        <f>TEXT(DATE(2024,Table1[[#This Row],[Month2]],1),"mmmm")</f>
        <v>November</v>
      </c>
      <c r="K273">
        <v>11</v>
      </c>
      <c r="L273">
        <v>2024</v>
      </c>
    </row>
    <row r="274" spans="1:12" x14ac:dyDescent="0.25">
      <c r="A274" t="s">
        <v>148</v>
      </c>
      <c r="B274" t="s">
        <v>521</v>
      </c>
      <c r="C274" t="s">
        <v>554</v>
      </c>
      <c r="D274" t="s">
        <v>561</v>
      </c>
      <c r="E274" t="s">
        <v>568</v>
      </c>
      <c r="F274" t="s">
        <v>844</v>
      </c>
      <c r="G274">
        <v>10084.120000000001</v>
      </c>
      <c r="H274">
        <v>22</v>
      </c>
      <c r="I274">
        <v>1790.23</v>
      </c>
      <c r="J274" t="str">
        <f>TEXT(DATE(2024,Table1[[#This Row],[Month2]],1),"mmmm")</f>
        <v>October</v>
      </c>
      <c r="K274">
        <v>10</v>
      </c>
      <c r="L274">
        <v>2024</v>
      </c>
    </row>
    <row r="275" spans="1:12" x14ac:dyDescent="0.25">
      <c r="A275" t="s">
        <v>231</v>
      </c>
      <c r="B275" t="s">
        <v>522</v>
      </c>
      <c r="C275" t="s">
        <v>556</v>
      </c>
      <c r="D275" t="s">
        <v>560</v>
      </c>
      <c r="E275" t="s">
        <v>566</v>
      </c>
      <c r="F275" t="s">
        <v>845</v>
      </c>
      <c r="G275">
        <v>413882.1</v>
      </c>
      <c r="H275">
        <v>43</v>
      </c>
      <c r="I275">
        <v>35361.33</v>
      </c>
      <c r="J275" t="str">
        <f>TEXT(DATE(2024,Table1[[#This Row],[Month2]],1),"mmmm")</f>
        <v>October</v>
      </c>
      <c r="K275">
        <v>10</v>
      </c>
      <c r="L275">
        <v>2024</v>
      </c>
    </row>
    <row r="276" spans="1:12" x14ac:dyDescent="0.25">
      <c r="A276" t="s">
        <v>205</v>
      </c>
      <c r="B276" t="s">
        <v>523</v>
      </c>
      <c r="C276" t="s">
        <v>558</v>
      </c>
      <c r="D276" t="s">
        <v>561</v>
      </c>
      <c r="E276" t="s">
        <v>571</v>
      </c>
      <c r="F276" t="s">
        <v>846</v>
      </c>
      <c r="G276">
        <v>473874.21</v>
      </c>
      <c r="H276">
        <v>46</v>
      </c>
      <c r="I276">
        <v>62864.72</v>
      </c>
      <c r="J276" t="str">
        <f>TEXT(DATE(2024,Table1[[#This Row],[Month2]],1),"mmmm")</f>
        <v>January</v>
      </c>
      <c r="K276">
        <v>1</v>
      </c>
      <c r="L276">
        <v>2025</v>
      </c>
    </row>
    <row r="277" spans="1:12" x14ac:dyDescent="0.25">
      <c r="A277" t="s">
        <v>232</v>
      </c>
      <c r="B277" t="s">
        <v>524</v>
      </c>
      <c r="C277" t="s">
        <v>549</v>
      </c>
      <c r="D277" t="s">
        <v>561</v>
      </c>
      <c r="E277" t="s">
        <v>572</v>
      </c>
      <c r="F277" t="s">
        <v>847</v>
      </c>
      <c r="G277">
        <v>245926.59</v>
      </c>
      <c r="H277">
        <v>31</v>
      </c>
      <c r="I277">
        <v>15709.77</v>
      </c>
      <c r="J277" t="str">
        <f>TEXT(DATE(2024,Table1[[#This Row],[Month2]],1),"mmmm")</f>
        <v>April</v>
      </c>
      <c r="K277">
        <v>4</v>
      </c>
      <c r="L277">
        <v>2025</v>
      </c>
    </row>
    <row r="278" spans="1:12" x14ac:dyDescent="0.25">
      <c r="A278" t="s">
        <v>218</v>
      </c>
      <c r="B278" t="s">
        <v>525</v>
      </c>
      <c r="C278" t="s">
        <v>552</v>
      </c>
      <c r="D278" t="s">
        <v>559</v>
      </c>
      <c r="E278" t="s">
        <v>565</v>
      </c>
      <c r="F278" t="s">
        <v>848</v>
      </c>
      <c r="G278">
        <v>480298.05</v>
      </c>
      <c r="H278">
        <v>27</v>
      </c>
      <c r="I278">
        <v>40067</v>
      </c>
      <c r="J278" t="str">
        <f>TEXT(DATE(2024,Table1[[#This Row],[Month2]],1),"mmmm")</f>
        <v>July</v>
      </c>
      <c r="K278">
        <v>7</v>
      </c>
      <c r="L278">
        <v>2025</v>
      </c>
    </row>
    <row r="279" spans="1:12" x14ac:dyDescent="0.25">
      <c r="A279" t="s">
        <v>233</v>
      </c>
      <c r="B279" t="s">
        <v>526</v>
      </c>
      <c r="C279" t="s">
        <v>558</v>
      </c>
      <c r="D279" t="s">
        <v>560</v>
      </c>
      <c r="E279" t="s">
        <v>566</v>
      </c>
      <c r="F279" t="s">
        <v>849</v>
      </c>
      <c r="G279">
        <v>146046.18</v>
      </c>
      <c r="H279">
        <v>47</v>
      </c>
      <c r="I279">
        <v>11868.78</v>
      </c>
      <c r="J279" t="str">
        <f>TEXT(DATE(2024,Table1[[#This Row],[Month2]],1),"mmmm")</f>
        <v>September</v>
      </c>
      <c r="K279">
        <v>9</v>
      </c>
      <c r="L279">
        <v>2025</v>
      </c>
    </row>
    <row r="280" spans="1:12" x14ac:dyDescent="0.25">
      <c r="A280" t="s">
        <v>234</v>
      </c>
      <c r="B280" t="s">
        <v>527</v>
      </c>
      <c r="C280" t="s">
        <v>557</v>
      </c>
      <c r="D280" t="s">
        <v>559</v>
      </c>
      <c r="E280" t="s">
        <v>565</v>
      </c>
      <c r="F280" t="s">
        <v>850</v>
      </c>
      <c r="G280">
        <v>200012.16</v>
      </c>
      <c r="H280">
        <v>14</v>
      </c>
      <c r="I280">
        <v>45987.33</v>
      </c>
      <c r="J280" t="str">
        <f>TEXT(DATE(2024,Table1[[#This Row],[Month2]],1),"mmmm")</f>
        <v>June</v>
      </c>
      <c r="K280">
        <v>6</v>
      </c>
      <c r="L280">
        <v>2025</v>
      </c>
    </row>
    <row r="281" spans="1:12" x14ac:dyDescent="0.25">
      <c r="A281" t="s">
        <v>235</v>
      </c>
      <c r="B281" t="s">
        <v>528</v>
      </c>
      <c r="C281" t="s">
        <v>554</v>
      </c>
      <c r="D281" t="s">
        <v>561</v>
      </c>
      <c r="E281" t="s">
        <v>570</v>
      </c>
      <c r="F281" t="s">
        <v>851</v>
      </c>
      <c r="G281">
        <v>298654</v>
      </c>
      <c r="H281">
        <v>8</v>
      </c>
      <c r="I281">
        <v>61788.03</v>
      </c>
      <c r="J281" t="str">
        <f>TEXT(DATE(2024,Table1[[#This Row],[Month2]],1),"mmmm")</f>
        <v>August</v>
      </c>
      <c r="K281">
        <v>8</v>
      </c>
      <c r="L281">
        <v>2024</v>
      </c>
    </row>
    <row r="282" spans="1:12" x14ac:dyDescent="0.25">
      <c r="A282" t="s">
        <v>179</v>
      </c>
      <c r="B282" t="s">
        <v>529</v>
      </c>
      <c r="C282" t="s">
        <v>558</v>
      </c>
      <c r="D282" t="s">
        <v>560</v>
      </c>
      <c r="E282" t="s">
        <v>569</v>
      </c>
      <c r="F282" t="s">
        <v>852</v>
      </c>
      <c r="G282">
        <v>484302.9</v>
      </c>
      <c r="H282">
        <v>36</v>
      </c>
      <c r="I282">
        <v>114862.71</v>
      </c>
      <c r="J282" t="str">
        <f>TEXT(DATE(2024,Table1[[#This Row],[Month2]],1),"mmmm")</f>
        <v>April</v>
      </c>
      <c r="K282">
        <v>4</v>
      </c>
      <c r="L282">
        <v>2025</v>
      </c>
    </row>
    <row r="283" spans="1:12" x14ac:dyDescent="0.25">
      <c r="A283" t="s">
        <v>187</v>
      </c>
      <c r="B283" t="s">
        <v>530</v>
      </c>
      <c r="C283" t="s">
        <v>554</v>
      </c>
      <c r="D283" t="s">
        <v>559</v>
      </c>
      <c r="E283" t="s">
        <v>565</v>
      </c>
      <c r="F283" t="s">
        <v>853</v>
      </c>
      <c r="G283">
        <v>118444.22</v>
      </c>
      <c r="H283">
        <v>44</v>
      </c>
      <c r="I283">
        <v>18638.11</v>
      </c>
      <c r="J283" t="str">
        <f>TEXT(DATE(2024,Table1[[#This Row],[Month2]],1),"mmmm")</f>
        <v>January</v>
      </c>
      <c r="K283">
        <v>1</v>
      </c>
      <c r="L283">
        <v>2025</v>
      </c>
    </row>
    <row r="284" spans="1:12" x14ac:dyDescent="0.25">
      <c r="A284" t="s">
        <v>236</v>
      </c>
      <c r="B284" t="s">
        <v>531</v>
      </c>
      <c r="C284" t="s">
        <v>549</v>
      </c>
      <c r="D284" t="s">
        <v>561</v>
      </c>
      <c r="E284" t="s">
        <v>571</v>
      </c>
      <c r="F284" t="s">
        <v>854</v>
      </c>
      <c r="G284">
        <v>115383.79</v>
      </c>
      <c r="H284">
        <v>11</v>
      </c>
      <c r="I284">
        <v>21383.96</v>
      </c>
      <c r="J284" t="str">
        <f>TEXT(DATE(2024,Table1[[#This Row],[Month2]],1),"mmmm")</f>
        <v>February</v>
      </c>
      <c r="K284">
        <v>2</v>
      </c>
      <c r="L284">
        <v>2024</v>
      </c>
    </row>
    <row r="285" spans="1:12" x14ac:dyDescent="0.25">
      <c r="A285" t="s">
        <v>237</v>
      </c>
      <c r="B285" t="s">
        <v>532</v>
      </c>
      <c r="C285" t="s">
        <v>554</v>
      </c>
      <c r="D285" t="s">
        <v>561</v>
      </c>
      <c r="E285" t="s">
        <v>572</v>
      </c>
      <c r="F285" t="s">
        <v>855</v>
      </c>
      <c r="G285">
        <v>300314.25</v>
      </c>
      <c r="H285">
        <v>4</v>
      </c>
      <c r="I285">
        <v>61223.6</v>
      </c>
      <c r="J285" t="str">
        <f>TEXT(DATE(2024,Table1[[#This Row],[Month2]],1),"mmmm")</f>
        <v>January</v>
      </c>
      <c r="K285">
        <v>1</v>
      </c>
      <c r="L285">
        <v>2024</v>
      </c>
    </row>
    <row r="286" spans="1:12" x14ac:dyDescent="0.25">
      <c r="A286" t="s">
        <v>238</v>
      </c>
      <c r="B286" t="s">
        <v>533</v>
      </c>
      <c r="C286" t="s">
        <v>557</v>
      </c>
      <c r="D286" t="s">
        <v>559</v>
      </c>
      <c r="E286" t="s">
        <v>562</v>
      </c>
      <c r="F286" t="s">
        <v>856</v>
      </c>
      <c r="G286">
        <v>75952.95</v>
      </c>
      <c r="H286">
        <v>32</v>
      </c>
      <c r="I286">
        <v>9464.1200000000008</v>
      </c>
      <c r="J286" t="str">
        <f>TEXT(DATE(2024,Table1[[#This Row],[Month2]],1),"mmmm")</f>
        <v>March</v>
      </c>
      <c r="K286">
        <v>3</v>
      </c>
      <c r="L286">
        <v>2025</v>
      </c>
    </row>
    <row r="287" spans="1:12" x14ac:dyDescent="0.25">
      <c r="A287" t="s">
        <v>239</v>
      </c>
      <c r="B287" t="s">
        <v>534</v>
      </c>
      <c r="C287" t="s">
        <v>549</v>
      </c>
      <c r="D287" t="s">
        <v>561</v>
      </c>
      <c r="E287" t="s">
        <v>568</v>
      </c>
      <c r="F287" t="s">
        <v>857</v>
      </c>
      <c r="G287">
        <v>249174.72</v>
      </c>
      <c r="H287">
        <v>48</v>
      </c>
      <c r="I287">
        <v>20478.740000000002</v>
      </c>
      <c r="J287" t="str">
        <f>TEXT(DATE(2024,Table1[[#This Row],[Month2]],1),"mmmm")</f>
        <v>February</v>
      </c>
      <c r="K287">
        <v>2</v>
      </c>
      <c r="L287">
        <v>2024</v>
      </c>
    </row>
    <row r="288" spans="1:12" x14ac:dyDescent="0.25">
      <c r="A288" t="s">
        <v>240</v>
      </c>
      <c r="B288" t="s">
        <v>535</v>
      </c>
      <c r="C288" t="s">
        <v>552</v>
      </c>
      <c r="D288" t="s">
        <v>559</v>
      </c>
      <c r="E288" t="s">
        <v>567</v>
      </c>
      <c r="F288" t="s">
        <v>858</v>
      </c>
      <c r="G288">
        <v>459299.08</v>
      </c>
      <c r="H288">
        <v>34</v>
      </c>
      <c r="I288">
        <v>67866.16</v>
      </c>
      <c r="J288" t="str">
        <f>TEXT(DATE(2024,Table1[[#This Row],[Month2]],1),"mmmm")</f>
        <v>July</v>
      </c>
      <c r="K288">
        <v>7</v>
      </c>
      <c r="L288">
        <v>2024</v>
      </c>
    </row>
    <row r="289" spans="1:12" x14ac:dyDescent="0.25">
      <c r="A289" t="s">
        <v>241</v>
      </c>
      <c r="B289" t="s">
        <v>536</v>
      </c>
      <c r="C289" t="s">
        <v>550</v>
      </c>
      <c r="D289" t="s">
        <v>560</v>
      </c>
      <c r="E289" t="s">
        <v>564</v>
      </c>
      <c r="F289" t="s">
        <v>859</v>
      </c>
      <c r="G289">
        <v>172139.21</v>
      </c>
      <c r="H289">
        <v>19</v>
      </c>
      <c r="I289">
        <v>19377.330000000002</v>
      </c>
      <c r="J289" t="str">
        <f>TEXT(DATE(2024,Table1[[#This Row],[Month2]],1),"mmmm")</f>
        <v>November</v>
      </c>
      <c r="K289">
        <v>11</v>
      </c>
      <c r="L289">
        <v>2024</v>
      </c>
    </row>
    <row r="290" spans="1:12" x14ac:dyDescent="0.25">
      <c r="A290" t="s">
        <v>179</v>
      </c>
      <c r="B290" t="s">
        <v>537</v>
      </c>
      <c r="C290" t="s">
        <v>556</v>
      </c>
      <c r="D290" t="s">
        <v>560</v>
      </c>
      <c r="E290" t="s">
        <v>569</v>
      </c>
      <c r="F290" t="s">
        <v>860</v>
      </c>
      <c r="G290">
        <v>425147.69</v>
      </c>
      <c r="H290">
        <v>23</v>
      </c>
      <c r="I290">
        <v>32499.8</v>
      </c>
      <c r="J290" t="str">
        <f>TEXT(DATE(2024,Table1[[#This Row],[Month2]],1),"mmmm")</f>
        <v>April</v>
      </c>
      <c r="K290">
        <v>4</v>
      </c>
      <c r="L290">
        <v>2025</v>
      </c>
    </row>
    <row r="291" spans="1:12" x14ac:dyDescent="0.25">
      <c r="A291" t="s">
        <v>242</v>
      </c>
      <c r="B291" t="s">
        <v>538</v>
      </c>
      <c r="C291" t="s">
        <v>549</v>
      </c>
      <c r="D291" t="s">
        <v>559</v>
      </c>
      <c r="E291" t="s">
        <v>563</v>
      </c>
      <c r="F291" t="s">
        <v>861</v>
      </c>
      <c r="G291">
        <v>157490.60999999999</v>
      </c>
      <c r="H291">
        <v>18</v>
      </c>
      <c r="I291">
        <v>13669.1</v>
      </c>
      <c r="J291" t="str">
        <f>TEXT(DATE(2024,Table1[[#This Row],[Month2]],1),"mmmm")</f>
        <v>December</v>
      </c>
      <c r="K291">
        <v>12</v>
      </c>
      <c r="L291">
        <v>2025</v>
      </c>
    </row>
    <row r="292" spans="1:12" x14ac:dyDescent="0.25">
      <c r="A292" t="s">
        <v>243</v>
      </c>
      <c r="B292" t="s">
        <v>539</v>
      </c>
      <c r="C292" t="s">
        <v>551</v>
      </c>
      <c r="D292" t="s">
        <v>560</v>
      </c>
      <c r="E292" t="s">
        <v>564</v>
      </c>
      <c r="F292" t="s">
        <v>862</v>
      </c>
      <c r="G292">
        <v>214088.02</v>
      </c>
      <c r="H292">
        <v>9</v>
      </c>
      <c r="I292">
        <v>44593.1</v>
      </c>
      <c r="J292" t="str">
        <f>TEXT(DATE(2024,Table1[[#This Row],[Month2]],1),"mmmm")</f>
        <v>May</v>
      </c>
      <c r="K292">
        <v>5</v>
      </c>
      <c r="L292">
        <v>2025</v>
      </c>
    </row>
    <row r="293" spans="1:12" x14ac:dyDescent="0.25">
      <c r="A293" t="s">
        <v>244</v>
      </c>
      <c r="B293" t="s">
        <v>540</v>
      </c>
      <c r="C293" t="s">
        <v>555</v>
      </c>
      <c r="D293" t="s">
        <v>559</v>
      </c>
      <c r="E293" t="s">
        <v>565</v>
      </c>
      <c r="F293" t="s">
        <v>863</v>
      </c>
      <c r="G293">
        <v>136453.49</v>
      </c>
      <c r="H293">
        <v>19</v>
      </c>
      <c r="I293">
        <v>18397.63</v>
      </c>
      <c r="J293" t="str">
        <f>TEXT(DATE(2024,Table1[[#This Row],[Month2]],1),"mmmm")</f>
        <v>December</v>
      </c>
      <c r="K293">
        <v>12</v>
      </c>
      <c r="L293">
        <v>2024</v>
      </c>
    </row>
    <row r="294" spans="1:12" x14ac:dyDescent="0.25">
      <c r="A294" t="s">
        <v>61</v>
      </c>
      <c r="B294" t="s">
        <v>541</v>
      </c>
      <c r="C294" t="s">
        <v>550</v>
      </c>
      <c r="D294" t="s">
        <v>560</v>
      </c>
      <c r="E294" t="s">
        <v>564</v>
      </c>
      <c r="F294" t="s">
        <v>864</v>
      </c>
      <c r="G294">
        <v>35271.24</v>
      </c>
      <c r="H294">
        <v>19</v>
      </c>
      <c r="I294">
        <v>2266.17</v>
      </c>
      <c r="J294" t="str">
        <f>TEXT(DATE(2024,Table1[[#This Row],[Month2]],1),"mmmm")</f>
        <v>July</v>
      </c>
      <c r="K294">
        <v>7</v>
      </c>
      <c r="L294">
        <v>2024</v>
      </c>
    </row>
    <row r="295" spans="1:12" x14ac:dyDescent="0.25">
      <c r="A295" t="s">
        <v>231</v>
      </c>
      <c r="B295" t="s">
        <v>542</v>
      </c>
      <c r="C295" t="s">
        <v>551</v>
      </c>
      <c r="D295" t="s">
        <v>561</v>
      </c>
      <c r="E295" t="s">
        <v>572</v>
      </c>
      <c r="F295" t="s">
        <v>865</v>
      </c>
      <c r="G295">
        <v>258143.35999999999</v>
      </c>
      <c r="H295">
        <v>27</v>
      </c>
      <c r="I295">
        <v>25421.4</v>
      </c>
      <c r="J295" t="str">
        <f>TEXT(DATE(2024,Table1[[#This Row],[Month2]],1),"mmmm")</f>
        <v>October</v>
      </c>
      <c r="K295">
        <v>10</v>
      </c>
      <c r="L295">
        <v>2024</v>
      </c>
    </row>
    <row r="296" spans="1:12" x14ac:dyDescent="0.25">
      <c r="A296" t="s">
        <v>85</v>
      </c>
      <c r="B296" t="s">
        <v>543</v>
      </c>
      <c r="C296" t="s">
        <v>557</v>
      </c>
      <c r="D296" t="s">
        <v>561</v>
      </c>
      <c r="E296" t="s">
        <v>568</v>
      </c>
      <c r="F296" t="s">
        <v>866</v>
      </c>
      <c r="G296">
        <v>268674.96999999997</v>
      </c>
      <c r="H296">
        <v>43</v>
      </c>
      <c r="I296">
        <v>46666.62</v>
      </c>
      <c r="J296" t="str">
        <f>TEXT(DATE(2024,Table1[[#This Row],[Month2]],1),"mmmm")</f>
        <v>September</v>
      </c>
      <c r="K296">
        <v>9</v>
      </c>
      <c r="L296">
        <v>2024</v>
      </c>
    </row>
    <row r="297" spans="1:12" x14ac:dyDescent="0.25">
      <c r="A297" t="s">
        <v>245</v>
      </c>
      <c r="B297" t="s">
        <v>544</v>
      </c>
      <c r="C297" t="s">
        <v>555</v>
      </c>
      <c r="D297" t="s">
        <v>559</v>
      </c>
      <c r="E297" t="s">
        <v>563</v>
      </c>
      <c r="F297" t="s">
        <v>867</v>
      </c>
      <c r="G297">
        <v>122914.31</v>
      </c>
      <c r="H297">
        <v>23</v>
      </c>
      <c r="I297">
        <v>27228.79</v>
      </c>
      <c r="J297" t="str">
        <f>TEXT(DATE(2024,Table1[[#This Row],[Month2]],1),"mmmm")</f>
        <v>November</v>
      </c>
      <c r="K297">
        <v>11</v>
      </c>
      <c r="L297">
        <v>2025</v>
      </c>
    </row>
    <row r="298" spans="1:12" x14ac:dyDescent="0.25">
      <c r="A298" t="s">
        <v>246</v>
      </c>
      <c r="B298" t="s">
        <v>545</v>
      </c>
      <c r="C298" t="s">
        <v>555</v>
      </c>
      <c r="D298" t="s">
        <v>561</v>
      </c>
      <c r="E298" t="s">
        <v>571</v>
      </c>
      <c r="F298" t="s">
        <v>868</v>
      </c>
      <c r="G298">
        <v>149280.42000000001</v>
      </c>
      <c r="H298">
        <v>11</v>
      </c>
      <c r="I298">
        <v>9748.35</v>
      </c>
      <c r="J298" t="str">
        <f>TEXT(DATE(2024,Table1[[#This Row],[Month2]],1),"mmmm")</f>
        <v>August</v>
      </c>
      <c r="K298">
        <v>8</v>
      </c>
      <c r="L298">
        <v>2025</v>
      </c>
    </row>
    <row r="299" spans="1:12" x14ac:dyDescent="0.25">
      <c r="A299" t="s">
        <v>247</v>
      </c>
      <c r="B299" t="s">
        <v>546</v>
      </c>
      <c r="C299" t="s">
        <v>554</v>
      </c>
      <c r="D299" t="s">
        <v>561</v>
      </c>
      <c r="E299" t="s">
        <v>571</v>
      </c>
      <c r="F299" t="s">
        <v>869</v>
      </c>
      <c r="G299">
        <v>336735.37</v>
      </c>
      <c r="H299">
        <v>31</v>
      </c>
      <c r="I299">
        <v>23645.39</v>
      </c>
      <c r="J299" t="str">
        <f>TEXT(DATE(2024,Table1[[#This Row],[Month2]],1),"mmmm")</f>
        <v>October</v>
      </c>
      <c r="K299">
        <v>10</v>
      </c>
      <c r="L299">
        <v>2024</v>
      </c>
    </row>
    <row r="300" spans="1:12" x14ac:dyDescent="0.25">
      <c r="A300" t="s">
        <v>248</v>
      </c>
      <c r="B300" t="s">
        <v>547</v>
      </c>
      <c r="C300" t="s">
        <v>555</v>
      </c>
      <c r="D300" t="s">
        <v>560</v>
      </c>
      <c r="E300" t="s">
        <v>564</v>
      </c>
      <c r="F300" t="s">
        <v>870</v>
      </c>
      <c r="G300">
        <v>140809</v>
      </c>
      <c r="H300">
        <v>35</v>
      </c>
      <c r="I300">
        <v>24140.93</v>
      </c>
      <c r="J300" t="str">
        <f>TEXT(DATE(2024,Table1[[#This Row],[Month2]],1),"mmmm")</f>
        <v>June</v>
      </c>
      <c r="K300">
        <v>6</v>
      </c>
      <c r="L300">
        <v>2024</v>
      </c>
    </row>
    <row r="301" spans="1:12" x14ac:dyDescent="0.25">
      <c r="A301" t="s">
        <v>167</v>
      </c>
      <c r="B301" t="s">
        <v>548</v>
      </c>
      <c r="C301" t="s">
        <v>554</v>
      </c>
      <c r="D301" t="s">
        <v>561</v>
      </c>
      <c r="E301" t="s">
        <v>571</v>
      </c>
      <c r="F301" t="s">
        <v>871</v>
      </c>
      <c r="G301">
        <v>327966.42</v>
      </c>
      <c r="H301">
        <v>11</v>
      </c>
      <c r="I301">
        <v>41946.37</v>
      </c>
      <c r="J301" t="str">
        <f>TEXT(DATE(2024,Table1[[#This Row],[Month2]],1),"mmmm")</f>
        <v>January</v>
      </c>
      <c r="K301">
        <v>1</v>
      </c>
      <c r="L3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87C9-5981-401E-ADF1-24592DAD734E}">
  <dimension ref="A2:X109"/>
  <sheetViews>
    <sheetView workbookViewId="0">
      <selection activeCell="D77" sqref="D77:E87"/>
    </sheetView>
  </sheetViews>
  <sheetFormatPr defaultRowHeight="15" x14ac:dyDescent="0.25"/>
  <cols>
    <col min="1" max="1" width="13.140625" bestFit="1" customWidth="1"/>
    <col min="2" max="2" width="12.140625" bestFit="1" customWidth="1"/>
    <col min="3" max="5" width="12" bestFit="1" customWidth="1"/>
    <col min="6" max="6" width="14.5703125" bestFit="1" customWidth="1"/>
    <col min="7" max="7" width="16.28515625" bestFit="1" customWidth="1"/>
    <col min="8" max="9" width="12" bestFit="1" customWidth="1"/>
    <col min="10" max="10" width="12.42578125" bestFit="1" customWidth="1"/>
    <col min="11" max="11" width="14.5703125" bestFit="1" customWidth="1"/>
    <col min="12" max="12" width="12.140625" bestFit="1" customWidth="1"/>
    <col min="13" max="13" width="12.5703125" bestFit="1" customWidth="1"/>
    <col min="14" max="14" width="12.42578125" bestFit="1" customWidth="1"/>
    <col min="15" max="15" width="17.42578125" bestFit="1" customWidth="1"/>
    <col min="16" max="16" width="12.140625" bestFit="1" customWidth="1"/>
    <col min="17" max="17" width="12.5703125" bestFit="1" customWidth="1"/>
    <col min="18" max="18" width="13.140625" bestFit="1" customWidth="1"/>
    <col min="19" max="19" width="16.28515625" bestFit="1" customWidth="1"/>
    <col min="20" max="21" width="12" bestFit="1" customWidth="1"/>
    <col min="22" max="22" width="12.5703125" bestFit="1" customWidth="1"/>
    <col min="23" max="23" width="10.85546875" bestFit="1" customWidth="1"/>
    <col min="24" max="24" width="13.5703125" bestFit="1" customWidth="1"/>
    <col min="25" max="25" width="10.85546875" bestFit="1" customWidth="1"/>
    <col min="26" max="26" width="13.5703125" bestFit="1" customWidth="1"/>
    <col min="27" max="27" width="10.85546875" bestFit="1" customWidth="1"/>
    <col min="28" max="28" width="13.5703125" bestFit="1" customWidth="1"/>
    <col min="29" max="29" width="10.85546875" bestFit="1" customWidth="1"/>
    <col min="30" max="30" width="13.5703125" bestFit="1" customWidth="1"/>
    <col min="31" max="31" width="10.85546875" bestFit="1" customWidth="1"/>
    <col min="32" max="32" width="13.5703125" bestFit="1" customWidth="1"/>
    <col min="33" max="33" width="10.85546875" bestFit="1" customWidth="1"/>
    <col min="34" max="34" width="13.5703125" bestFit="1" customWidth="1"/>
    <col min="35" max="35" width="7.85546875" bestFit="1" customWidth="1"/>
    <col min="36" max="37" width="10.85546875" bestFit="1" customWidth="1"/>
    <col min="38" max="38" width="13.5703125" bestFit="1" customWidth="1"/>
    <col min="39" max="39" width="10.85546875" bestFit="1" customWidth="1"/>
    <col min="40" max="40" width="13.5703125" bestFit="1" customWidth="1"/>
    <col min="41" max="41" width="10.85546875" bestFit="1" customWidth="1"/>
    <col min="42" max="42" width="13.5703125" bestFit="1" customWidth="1"/>
    <col min="43" max="43" width="10.85546875" bestFit="1" customWidth="1"/>
    <col min="44" max="44" width="13.5703125" bestFit="1" customWidth="1"/>
    <col min="45" max="45" width="10.85546875" bestFit="1" customWidth="1"/>
    <col min="46" max="46" width="13.5703125" bestFit="1" customWidth="1"/>
    <col min="47" max="47" width="10.85546875" bestFit="1" customWidth="1"/>
    <col min="48" max="48" width="13.5703125" bestFit="1" customWidth="1"/>
    <col min="49" max="49" width="10.85546875" bestFit="1" customWidth="1"/>
    <col min="50" max="50" width="13.5703125" bestFit="1" customWidth="1"/>
    <col min="51" max="51" width="10.85546875" bestFit="1" customWidth="1"/>
    <col min="52" max="52" width="13.5703125" bestFit="1" customWidth="1"/>
    <col min="53" max="53" width="10.85546875" bestFit="1" customWidth="1"/>
    <col min="54" max="54" width="13.5703125" bestFit="1" customWidth="1"/>
    <col min="55" max="55" width="10.85546875" bestFit="1" customWidth="1"/>
    <col min="56" max="56" width="13.5703125" bestFit="1" customWidth="1"/>
    <col min="57" max="57" width="10.85546875" bestFit="1" customWidth="1"/>
    <col min="58" max="58" width="13.5703125" bestFit="1" customWidth="1"/>
    <col min="59" max="59" width="10.85546875" bestFit="1" customWidth="1"/>
    <col min="60" max="60" width="13.5703125" bestFit="1" customWidth="1"/>
    <col min="61" max="61" width="10.85546875" bestFit="1" customWidth="1"/>
    <col min="62" max="62" width="13.5703125" bestFit="1" customWidth="1"/>
    <col min="63" max="63" width="9.85546875" bestFit="1" customWidth="1"/>
    <col min="64" max="64" width="12.42578125" bestFit="1" customWidth="1"/>
    <col min="65" max="65" width="10.85546875" bestFit="1" customWidth="1"/>
    <col min="66" max="66" width="13.5703125" bestFit="1" customWidth="1"/>
    <col min="67" max="67" width="10.85546875" bestFit="1" customWidth="1"/>
    <col min="68" max="68" width="13.5703125" bestFit="1" customWidth="1"/>
    <col min="69" max="69" width="10.85546875" bestFit="1" customWidth="1"/>
    <col min="70" max="70" width="13.5703125" bestFit="1" customWidth="1"/>
    <col min="71" max="71" width="10.85546875" bestFit="1" customWidth="1"/>
    <col min="72" max="72" width="13.5703125" bestFit="1" customWidth="1"/>
    <col min="73" max="73" width="10.85546875" bestFit="1" customWidth="1"/>
    <col min="74" max="74" width="13.5703125" bestFit="1" customWidth="1"/>
    <col min="75" max="75" width="10.85546875" bestFit="1" customWidth="1"/>
    <col min="76" max="76" width="13.5703125" bestFit="1" customWidth="1"/>
    <col min="77" max="77" width="10.85546875" bestFit="1" customWidth="1"/>
    <col min="78" max="78" width="13.5703125" bestFit="1" customWidth="1"/>
    <col min="79" max="79" width="10.85546875" bestFit="1" customWidth="1"/>
    <col min="80" max="80" width="13.5703125" bestFit="1" customWidth="1"/>
    <col min="81" max="81" width="10.85546875" bestFit="1" customWidth="1"/>
    <col min="82" max="82" width="13.5703125" bestFit="1" customWidth="1"/>
    <col min="83" max="83" width="9.85546875" bestFit="1" customWidth="1"/>
    <col min="84" max="84" width="12.42578125" bestFit="1" customWidth="1"/>
    <col min="85" max="85" width="10.85546875" bestFit="1" customWidth="1"/>
    <col min="86" max="86" width="13.5703125" bestFit="1" customWidth="1"/>
    <col min="87" max="87" width="10.85546875" bestFit="1" customWidth="1"/>
    <col min="88" max="88" width="13.5703125" bestFit="1" customWidth="1"/>
    <col min="89" max="89" width="10.85546875" bestFit="1" customWidth="1"/>
    <col min="90" max="90" width="13.5703125" bestFit="1" customWidth="1"/>
    <col min="91" max="91" width="10.85546875" bestFit="1" customWidth="1"/>
    <col min="92" max="92" width="13.5703125" bestFit="1" customWidth="1"/>
    <col min="93" max="93" width="10.85546875" bestFit="1" customWidth="1"/>
    <col min="94" max="94" width="13.5703125" bestFit="1" customWidth="1"/>
    <col min="95" max="95" width="10.85546875" bestFit="1" customWidth="1"/>
    <col min="96" max="96" width="13.5703125" bestFit="1" customWidth="1"/>
    <col min="97" max="97" width="10.85546875" bestFit="1" customWidth="1"/>
    <col min="98" max="98" width="13.5703125" bestFit="1" customWidth="1"/>
    <col min="99" max="99" width="10.85546875" bestFit="1" customWidth="1"/>
    <col min="100" max="100" width="13.5703125" bestFit="1" customWidth="1"/>
    <col min="101" max="101" width="10.85546875" bestFit="1" customWidth="1"/>
    <col min="102" max="102" width="13.5703125" bestFit="1" customWidth="1"/>
    <col min="103" max="103" width="10.85546875" bestFit="1" customWidth="1"/>
    <col min="104" max="104" width="13.5703125" bestFit="1" customWidth="1"/>
    <col min="105" max="105" width="10.85546875" bestFit="1" customWidth="1"/>
    <col min="106" max="106" width="13.5703125" bestFit="1" customWidth="1"/>
    <col min="107" max="107" width="10.85546875" bestFit="1" customWidth="1"/>
    <col min="108" max="108" width="13.5703125" bestFit="1" customWidth="1"/>
    <col min="109" max="109" width="9.85546875" bestFit="1" customWidth="1"/>
    <col min="110" max="110" width="12.42578125" bestFit="1" customWidth="1"/>
    <col min="111" max="111" width="10.85546875" bestFit="1" customWidth="1"/>
    <col min="112" max="112" width="13.5703125" bestFit="1" customWidth="1"/>
    <col min="113" max="113" width="10.85546875" bestFit="1" customWidth="1"/>
    <col min="114" max="114" width="13.5703125" bestFit="1" customWidth="1"/>
    <col min="115" max="115" width="11.85546875" bestFit="1" customWidth="1"/>
    <col min="116" max="116" width="14.5703125" bestFit="1" customWidth="1"/>
    <col min="117" max="117" width="11.85546875" bestFit="1" customWidth="1"/>
    <col min="118" max="118" width="14.5703125" bestFit="1" customWidth="1"/>
    <col min="119" max="119" width="11.85546875" bestFit="1" customWidth="1"/>
    <col min="120" max="120" width="14.5703125" bestFit="1" customWidth="1"/>
    <col min="121" max="121" width="11.85546875" bestFit="1" customWidth="1"/>
    <col min="122" max="122" width="14.5703125" bestFit="1" customWidth="1"/>
    <col min="123" max="123" width="11.85546875" bestFit="1" customWidth="1"/>
    <col min="124" max="124" width="14.5703125" bestFit="1" customWidth="1"/>
    <col min="125" max="125" width="11.85546875" bestFit="1" customWidth="1"/>
    <col min="126" max="126" width="14.5703125" bestFit="1" customWidth="1"/>
    <col min="127" max="127" width="11.85546875" bestFit="1" customWidth="1"/>
    <col min="128" max="128" width="14.5703125" bestFit="1" customWidth="1"/>
    <col min="129" max="129" width="11.85546875" bestFit="1" customWidth="1"/>
    <col min="130" max="130" width="14.5703125" bestFit="1" customWidth="1"/>
    <col min="131" max="131" width="11.85546875" bestFit="1" customWidth="1"/>
    <col min="132" max="132" width="14.5703125" bestFit="1" customWidth="1"/>
    <col min="133" max="133" width="11.85546875" bestFit="1" customWidth="1"/>
    <col min="134" max="134" width="14.5703125" bestFit="1" customWidth="1"/>
    <col min="135" max="135" width="11.85546875" bestFit="1" customWidth="1"/>
    <col min="136" max="136" width="14.5703125" bestFit="1" customWidth="1"/>
    <col min="137" max="137" width="11.85546875" bestFit="1" customWidth="1"/>
    <col min="138" max="138" width="14.5703125" bestFit="1" customWidth="1"/>
    <col min="139" max="139" width="11.85546875" bestFit="1" customWidth="1"/>
    <col min="140" max="140" width="14.5703125" bestFit="1" customWidth="1"/>
    <col min="141" max="141" width="11.85546875" bestFit="1" customWidth="1"/>
    <col min="142" max="142" width="14.5703125" bestFit="1" customWidth="1"/>
    <col min="143" max="143" width="11.85546875" bestFit="1" customWidth="1"/>
    <col min="144" max="144" width="14.5703125" bestFit="1" customWidth="1"/>
    <col min="145" max="145" width="11.85546875" bestFit="1" customWidth="1"/>
    <col min="146" max="146" width="14.5703125" bestFit="1" customWidth="1"/>
    <col min="147" max="147" width="11.85546875" bestFit="1" customWidth="1"/>
    <col min="148" max="148" width="14.5703125" bestFit="1" customWidth="1"/>
    <col min="149" max="149" width="11.85546875" bestFit="1" customWidth="1"/>
    <col min="150" max="150" width="14.5703125" bestFit="1" customWidth="1"/>
    <col min="151" max="151" width="11.85546875" bestFit="1" customWidth="1"/>
    <col min="152" max="152" width="14.5703125" bestFit="1" customWidth="1"/>
    <col min="153" max="153" width="11.85546875" bestFit="1" customWidth="1"/>
    <col min="154" max="154" width="14.5703125" bestFit="1" customWidth="1"/>
    <col min="155" max="155" width="11.85546875" bestFit="1" customWidth="1"/>
    <col min="156" max="156" width="14.5703125" bestFit="1" customWidth="1"/>
    <col min="157" max="157" width="11.85546875" bestFit="1" customWidth="1"/>
    <col min="158" max="158" width="14.5703125" bestFit="1" customWidth="1"/>
    <col min="159" max="159" width="8.85546875" bestFit="1" customWidth="1"/>
    <col min="160" max="161" width="11.85546875" bestFit="1" customWidth="1"/>
    <col min="162" max="162" width="14.5703125" bestFit="1" customWidth="1"/>
    <col min="163" max="163" width="11.85546875" bestFit="1" customWidth="1"/>
    <col min="164" max="164" width="14.5703125" bestFit="1" customWidth="1"/>
    <col min="165" max="165" width="10.85546875" bestFit="1" customWidth="1"/>
    <col min="166" max="166" width="13.5703125" bestFit="1" customWidth="1"/>
    <col min="167" max="167" width="10.85546875" bestFit="1" customWidth="1"/>
    <col min="168" max="168" width="13.5703125" bestFit="1" customWidth="1"/>
    <col min="169" max="169" width="11.85546875" bestFit="1" customWidth="1"/>
    <col min="170" max="170" width="14.5703125" bestFit="1" customWidth="1"/>
    <col min="171" max="171" width="11.85546875" bestFit="1" customWidth="1"/>
    <col min="172" max="172" width="14.5703125" bestFit="1" customWidth="1"/>
    <col min="173" max="173" width="11.85546875" bestFit="1" customWidth="1"/>
    <col min="174" max="174" width="14.5703125" bestFit="1" customWidth="1"/>
    <col min="175" max="175" width="11.85546875" bestFit="1" customWidth="1"/>
    <col min="176" max="176" width="14.5703125" bestFit="1" customWidth="1"/>
    <col min="177" max="177" width="11.85546875" bestFit="1" customWidth="1"/>
    <col min="178" max="178" width="14.5703125" bestFit="1" customWidth="1"/>
    <col min="179" max="179" width="10.85546875" bestFit="1" customWidth="1"/>
    <col min="180" max="180" width="13.5703125" bestFit="1" customWidth="1"/>
    <col min="181" max="181" width="10.85546875" bestFit="1" customWidth="1"/>
    <col min="182" max="182" width="13.5703125" bestFit="1" customWidth="1"/>
    <col min="183" max="183" width="8.85546875" bestFit="1" customWidth="1"/>
    <col min="184" max="185" width="11.85546875" bestFit="1" customWidth="1"/>
    <col min="186" max="186" width="14.5703125" bestFit="1" customWidth="1"/>
    <col min="187" max="187" width="11.85546875" bestFit="1" customWidth="1"/>
    <col min="188" max="188" width="14.5703125" bestFit="1" customWidth="1"/>
    <col min="189" max="189" width="11.85546875" bestFit="1" customWidth="1"/>
    <col min="190" max="190" width="14.5703125" bestFit="1" customWidth="1"/>
    <col min="191" max="191" width="11.85546875" bestFit="1" customWidth="1"/>
    <col min="192" max="192" width="14.5703125" bestFit="1" customWidth="1"/>
    <col min="193" max="193" width="11.85546875" bestFit="1" customWidth="1"/>
    <col min="194" max="194" width="14.5703125" bestFit="1" customWidth="1"/>
    <col min="195" max="195" width="11.85546875" bestFit="1" customWidth="1"/>
    <col min="196" max="196" width="14.5703125" bestFit="1" customWidth="1"/>
    <col min="197" max="197" width="11.85546875" bestFit="1" customWidth="1"/>
    <col min="198" max="198" width="14.5703125" bestFit="1" customWidth="1"/>
    <col min="199" max="199" width="11.85546875" bestFit="1" customWidth="1"/>
    <col min="200" max="200" width="14.5703125" bestFit="1" customWidth="1"/>
    <col min="201" max="201" width="11.85546875" bestFit="1" customWidth="1"/>
    <col min="202" max="202" width="14.5703125" bestFit="1" customWidth="1"/>
    <col min="203" max="203" width="11.85546875" bestFit="1" customWidth="1"/>
    <col min="204" max="204" width="14.5703125" bestFit="1" customWidth="1"/>
    <col min="205" max="205" width="11.85546875" bestFit="1" customWidth="1"/>
    <col min="206" max="206" width="14.5703125" bestFit="1" customWidth="1"/>
    <col min="207" max="207" width="11.85546875" bestFit="1" customWidth="1"/>
    <col min="208" max="208" width="14.5703125" bestFit="1" customWidth="1"/>
    <col min="209" max="209" width="11.85546875" bestFit="1" customWidth="1"/>
    <col min="210" max="210" width="14.5703125" bestFit="1" customWidth="1"/>
    <col min="211" max="211" width="11.85546875" bestFit="1" customWidth="1"/>
    <col min="212" max="212" width="14.5703125" bestFit="1" customWidth="1"/>
    <col min="213" max="213" width="11.85546875" bestFit="1" customWidth="1"/>
    <col min="214" max="214" width="14.5703125" bestFit="1" customWidth="1"/>
    <col min="215" max="215" width="11.85546875" bestFit="1" customWidth="1"/>
    <col min="216" max="216" width="14.5703125" bestFit="1" customWidth="1"/>
    <col min="217" max="217" width="11.85546875" bestFit="1" customWidth="1"/>
    <col min="218" max="218" width="14.5703125" bestFit="1" customWidth="1"/>
    <col min="219" max="219" width="11.85546875" bestFit="1" customWidth="1"/>
    <col min="220" max="220" width="14.5703125" bestFit="1" customWidth="1"/>
    <col min="221" max="221" width="11.85546875" bestFit="1" customWidth="1"/>
    <col min="222" max="222" width="14.5703125" bestFit="1" customWidth="1"/>
    <col min="223" max="223" width="11.85546875" bestFit="1" customWidth="1"/>
    <col min="224" max="224" width="14.5703125" bestFit="1" customWidth="1"/>
    <col min="225" max="225" width="11.85546875" bestFit="1" customWidth="1"/>
    <col min="226" max="226" width="14.5703125" bestFit="1" customWidth="1"/>
    <col min="227" max="227" width="11.85546875" bestFit="1" customWidth="1"/>
    <col min="228" max="228" width="14.5703125" bestFit="1" customWidth="1"/>
    <col min="229" max="229" width="10.85546875" bestFit="1" customWidth="1"/>
    <col min="230" max="230" width="13.5703125" bestFit="1" customWidth="1"/>
    <col min="231" max="231" width="11.85546875" bestFit="1" customWidth="1"/>
    <col min="232" max="232" width="14.5703125" bestFit="1" customWidth="1"/>
    <col min="233" max="233" width="11.85546875" bestFit="1" customWidth="1"/>
    <col min="234" max="234" width="14.5703125" bestFit="1" customWidth="1"/>
    <col min="235" max="235" width="11.85546875" bestFit="1" customWidth="1"/>
    <col min="236" max="236" width="14.5703125" bestFit="1" customWidth="1"/>
    <col min="237" max="237" width="11.85546875" bestFit="1" customWidth="1"/>
    <col min="238" max="238" width="14.5703125" bestFit="1" customWidth="1"/>
    <col min="239" max="239" width="8.85546875" bestFit="1" customWidth="1"/>
    <col min="240" max="241" width="11.85546875" bestFit="1" customWidth="1"/>
    <col min="242" max="242" width="14.5703125" bestFit="1" customWidth="1"/>
    <col min="243" max="243" width="11.85546875" bestFit="1" customWidth="1"/>
    <col min="244" max="244" width="14.5703125" bestFit="1" customWidth="1"/>
    <col min="245" max="245" width="11.85546875" bestFit="1" customWidth="1"/>
    <col min="246" max="246" width="14.5703125" bestFit="1" customWidth="1"/>
    <col min="247" max="247" width="11.85546875" bestFit="1" customWidth="1"/>
    <col min="248" max="248" width="14.5703125" bestFit="1" customWidth="1"/>
    <col min="249" max="249" width="11.85546875" bestFit="1" customWidth="1"/>
    <col min="250" max="250" width="14.5703125" bestFit="1" customWidth="1"/>
    <col min="251" max="251" width="11.85546875" bestFit="1" customWidth="1"/>
    <col min="252" max="252" width="14.5703125" bestFit="1" customWidth="1"/>
    <col min="253" max="253" width="11.85546875" bestFit="1" customWidth="1"/>
    <col min="254" max="254" width="14.5703125" bestFit="1" customWidth="1"/>
    <col min="255" max="255" width="11.85546875" bestFit="1" customWidth="1"/>
    <col min="256" max="256" width="14.5703125" bestFit="1" customWidth="1"/>
    <col min="257" max="257" width="11.85546875" bestFit="1" customWidth="1"/>
    <col min="258" max="258" width="14.5703125" bestFit="1" customWidth="1"/>
    <col min="259" max="259" width="11.85546875" bestFit="1" customWidth="1"/>
    <col min="260" max="260" width="14.5703125" bestFit="1" customWidth="1"/>
    <col min="261" max="261" width="11.85546875" bestFit="1" customWidth="1"/>
    <col min="262" max="262" width="14.5703125" bestFit="1" customWidth="1"/>
    <col min="263" max="263" width="11.85546875" bestFit="1" customWidth="1"/>
    <col min="264" max="264" width="14.5703125" bestFit="1" customWidth="1"/>
    <col min="265" max="265" width="11.85546875" bestFit="1" customWidth="1"/>
    <col min="266" max="266" width="14.5703125" bestFit="1" customWidth="1"/>
    <col min="267" max="267" width="11.85546875" bestFit="1" customWidth="1"/>
    <col min="268" max="268" width="14.5703125" bestFit="1" customWidth="1"/>
    <col min="269" max="269" width="11.85546875" bestFit="1" customWidth="1"/>
    <col min="270" max="270" width="14.5703125" bestFit="1" customWidth="1"/>
    <col min="271" max="271" width="11.85546875" bestFit="1" customWidth="1"/>
    <col min="272" max="272" width="14.5703125" bestFit="1" customWidth="1"/>
    <col min="273" max="273" width="11.85546875" bestFit="1" customWidth="1"/>
    <col min="274" max="274" width="14.5703125" bestFit="1" customWidth="1"/>
    <col min="275" max="275" width="11.85546875" bestFit="1" customWidth="1"/>
    <col min="276" max="276" width="14.5703125" bestFit="1" customWidth="1"/>
    <col min="277" max="277" width="11.85546875" bestFit="1" customWidth="1"/>
    <col min="278" max="278" width="14.5703125" bestFit="1" customWidth="1"/>
    <col min="279" max="279" width="11.85546875" bestFit="1" customWidth="1"/>
    <col min="280" max="280" width="14.5703125" bestFit="1" customWidth="1"/>
    <col min="281" max="281" width="11.85546875" bestFit="1" customWidth="1"/>
    <col min="282" max="282" width="14.5703125" bestFit="1" customWidth="1"/>
    <col min="283" max="283" width="11.85546875" bestFit="1" customWidth="1"/>
    <col min="284" max="284" width="14.5703125" bestFit="1" customWidth="1"/>
    <col min="285" max="285" width="11.85546875" bestFit="1" customWidth="1"/>
    <col min="286" max="286" width="14.5703125" bestFit="1" customWidth="1"/>
    <col min="287" max="287" width="11.85546875" bestFit="1" customWidth="1"/>
    <col min="288" max="288" width="14.5703125" bestFit="1" customWidth="1"/>
    <col min="289" max="289" width="11.85546875" bestFit="1" customWidth="1"/>
    <col min="290" max="290" width="14.5703125" bestFit="1" customWidth="1"/>
    <col min="291" max="291" width="11.85546875" bestFit="1" customWidth="1"/>
    <col min="292" max="292" width="14.5703125" bestFit="1" customWidth="1"/>
    <col min="293" max="293" width="11.85546875" bestFit="1" customWidth="1"/>
    <col min="294" max="294" width="14.5703125" bestFit="1" customWidth="1"/>
    <col min="295" max="295" width="11.85546875" bestFit="1" customWidth="1"/>
    <col min="296" max="296" width="14.5703125" bestFit="1" customWidth="1"/>
    <col min="297" max="297" width="11.85546875" bestFit="1" customWidth="1"/>
    <col min="298" max="298" width="14.5703125" bestFit="1" customWidth="1"/>
    <col min="299" max="299" width="11.85546875" bestFit="1" customWidth="1"/>
    <col min="300" max="300" width="14.5703125" bestFit="1" customWidth="1"/>
    <col min="301" max="301" width="11.85546875" bestFit="1" customWidth="1"/>
    <col min="302" max="302" width="14.5703125" bestFit="1" customWidth="1"/>
    <col min="303" max="303" width="11.85546875" bestFit="1" customWidth="1"/>
    <col min="304" max="304" width="14.5703125" bestFit="1" customWidth="1"/>
    <col min="305" max="305" width="11.85546875" bestFit="1" customWidth="1"/>
    <col min="306" max="306" width="14.5703125" bestFit="1" customWidth="1"/>
    <col min="307" max="307" width="11.85546875" bestFit="1" customWidth="1"/>
    <col min="308" max="308" width="14.5703125" bestFit="1" customWidth="1"/>
    <col min="309" max="309" width="11.85546875" bestFit="1" customWidth="1"/>
    <col min="310" max="310" width="14.5703125" bestFit="1" customWidth="1"/>
    <col min="311" max="311" width="11.85546875" bestFit="1" customWidth="1"/>
    <col min="312" max="312" width="14.5703125" bestFit="1" customWidth="1"/>
    <col min="313" max="313" width="11.85546875" bestFit="1" customWidth="1"/>
    <col min="314" max="314" width="14.5703125" bestFit="1" customWidth="1"/>
    <col min="315" max="315" width="11.85546875" bestFit="1" customWidth="1"/>
    <col min="316" max="316" width="14.5703125" bestFit="1" customWidth="1"/>
    <col min="317" max="317" width="11.85546875" bestFit="1" customWidth="1"/>
    <col min="318" max="318" width="14.5703125" bestFit="1" customWidth="1"/>
    <col min="319" max="319" width="11.85546875" bestFit="1" customWidth="1"/>
    <col min="320" max="320" width="14.5703125" bestFit="1" customWidth="1"/>
    <col min="321" max="321" width="11.85546875" bestFit="1" customWidth="1"/>
    <col min="322" max="322" width="14.5703125" bestFit="1" customWidth="1"/>
    <col min="323" max="323" width="11.85546875" bestFit="1" customWidth="1"/>
    <col min="324" max="324" width="14.5703125" bestFit="1" customWidth="1"/>
    <col min="325" max="325" width="11.85546875" bestFit="1" customWidth="1"/>
    <col min="326" max="326" width="14.5703125" bestFit="1" customWidth="1"/>
    <col min="327" max="327" width="11.85546875" bestFit="1" customWidth="1"/>
    <col min="328" max="328" width="14.5703125" bestFit="1" customWidth="1"/>
    <col min="329" max="329" width="11.85546875" bestFit="1" customWidth="1"/>
    <col min="330" max="330" width="14.5703125" bestFit="1" customWidth="1"/>
    <col min="331" max="331" width="11.85546875" bestFit="1" customWidth="1"/>
    <col min="332" max="332" width="14.5703125" bestFit="1" customWidth="1"/>
    <col min="333" max="333" width="11.85546875" bestFit="1" customWidth="1"/>
    <col min="334" max="334" width="14.5703125" bestFit="1" customWidth="1"/>
    <col min="335" max="335" width="11.85546875" bestFit="1" customWidth="1"/>
    <col min="336" max="336" width="14.5703125" bestFit="1" customWidth="1"/>
    <col min="337" max="337" width="11.85546875" bestFit="1" customWidth="1"/>
    <col min="338" max="338" width="14.5703125" bestFit="1" customWidth="1"/>
    <col min="339" max="339" width="11.85546875" bestFit="1" customWidth="1"/>
    <col min="340" max="340" width="14.5703125" bestFit="1" customWidth="1"/>
    <col min="341" max="341" width="11.85546875" bestFit="1" customWidth="1"/>
    <col min="342" max="342" width="14.5703125" bestFit="1" customWidth="1"/>
    <col min="343" max="343" width="11.85546875" bestFit="1" customWidth="1"/>
    <col min="344" max="344" width="14.5703125" bestFit="1" customWidth="1"/>
    <col min="345" max="345" width="11.85546875" bestFit="1" customWidth="1"/>
    <col min="346" max="346" width="14.5703125" bestFit="1" customWidth="1"/>
    <col min="347" max="347" width="11.85546875" bestFit="1" customWidth="1"/>
    <col min="348" max="348" width="14.5703125" bestFit="1" customWidth="1"/>
    <col min="349" max="349" width="11.85546875" bestFit="1" customWidth="1"/>
    <col min="350" max="350" width="14.5703125" bestFit="1" customWidth="1"/>
    <col min="351" max="351" width="11.85546875" bestFit="1" customWidth="1"/>
    <col min="352" max="352" width="14.5703125" bestFit="1" customWidth="1"/>
    <col min="353" max="353" width="11.85546875" bestFit="1" customWidth="1"/>
    <col min="354" max="354" width="14.5703125" bestFit="1" customWidth="1"/>
    <col min="355" max="355" width="8.85546875" bestFit="1" customWidth="1"/>
    <col min="356" max="357" width="11.85546875" bestFit="1" customWidth="1"/>
    <col min="358" max="358" width="14.5703125" bestFit="1" customWidth="1"/>
    <col min="359" max="359" width="11.85546875" bestFit="1" customWidth="1"/>
    <col min="360" max="360" width="14.5703125" bestFit="1" customWidth="1"/>
    <col min="361" max="361" width="10.85546875" bestFit="1" customWidth="1"/>
    <col min="362" max="362" width="13.5703125" bestFit="1" customWidth="1"/>
    <col min="363" max="363" width="11.85546875" bestFit="1" customWidth="1"/>
    <col min="364" max="364" width="14.5703125" bestFit="1" customWidth="1"/>
    <col min="365" max="365" width="11.85546875" bestFit="1" customWidth="1"/>
    <col min="366" max="366" width="14.5703125" bestFit="1" customWidth="1"/>
    <col min="367" max="367" width="11.85546875" bestFit="1" customWidth="1"/>
    <col min="368" max="368" width="14.5703125" bestFit="1" customWidth="1"/>
    <col min="369" max="369" width="11.85546875" bestFit="1" customWidth="1"/>
    <col min="370" max="370" width="14.5703125" bestFit="1" customWidth="1"/>
    <col min="371" max="371" width="11.85546875" bestFit="1" customWidth="1"/>
    <col min="372" max="372" width="14.5703125" bestFit="1" customWidth="1"/>
    <col min="373" max="373" width="10.85546875" bestFit="1" customWidth="1"/>
    <col min="374" max="374" width="13.5703125" bestFit="1" customWidth="1"/>
    <col min="375" max="375" width="11.85546875" bestFit="1" customWidth="1"/>
    <col min="376" max="376" width="14.5703125" bestFit="1" customWidth="1"/>
    <col min="377" max="377" width="11.85546875" bestFit="1" customWidth="1"/>
    <col min="378" max="378" width="14.5703125" bestFit="1" customWidth="1"/>
    <col min="379" max="379" width="8.85546875" bestFit="1" customWidth="1"/>
    <col min="380" max="381" width="11.85546875" bestFit="1" customWidth="1"/>
    <col min="382" max="382" width="14.5703125" bestFit="1" customWidth="1"/>
    <col min="383" max="383" width="11.85546875" bestFit="1" customWidth="1"/>
    <col min="384" max="384" width="14.5703125" bestFit="1" customWidth="1"/>
    <col min="385" max="385" width="11.85546875" bestFit="1" customWidth="1"/>
    <col min="386" max="386" width="14.5703125" bestFit="1" customWidth="1"/>
    <col min="387" max="387" width="11.85546875" bestFit="1" customWidth="1"/>
    <col min="388" max="388" width="14.5703125" bestFit="1" customWidth="1"/>
    <col min="389" max="389" width="11.85546875" bestFit="1" customWidth="1"/>
    <col min="390" max="390" width="14.5703125" bestFit="1" customWidth="1"/>
    <col min="391" max="391" width="11.85546875" bestFit="1" customWidth="1"/>
    <col min="392" max="392" width="14.5703125" bestFit="1" customWidth="1"/>
    <col min="393" max="393" width="11.85546875" bestFit="1" customWidth="1"/>
    <col min="394" max="394" width="14.5703125" bestFit="1" customWidth="1"/>
    <col min="395" max="395" width="11.85546875" bestFit="1" customWidth="1"/>
    <col min="396" max="396" width="14.5703125" bestFit="1" customWidth="1"/>
    <col min="397" max="397" width="11.85546875" bestFit="1" customWidth="1"/>
    <col min="398" max="398" width="14.5703125" bestFit="1" customWidth="1"/>
    <col min="399" max="399" width="11.85546875" bestFit="1" customWidth="1"/>
    <col min="400" max="400" width="14.5703125" bestFit="1" customWidth="1"/>
    <col min="401" max="401" width="11.85546875" bestFit="1" customWidth="1"/>
    <col min="402" max="402" width="14.5703125" bestFit="1" customWidth="1"/>
    <col min="403" max="403" width="11.85546875" bestFit="1" customWidth="1"/>
    <col min="404" max="404" width="14.5703125" bestFit="1" customWidth="1"/>
    <col min="405" max="405" width="11.85546875" bestFit="1" customWidth="1"/>
    <col min="406" max="406" width="14.5703125" bestFit="1" customWidth="1"/>
    <col min="407" max="407" width="11.85546875" bestFit="1" customWidth="1"/>
    <col min="408" max="408" width="14.5703125" bestFit="1" customWidth="1"/>
    <col min="409" max="409" width="11.85546875" bestFit="1" customWidth="1"/>
    <col min="410" max="410" width="14.5703125" bestFit="1" customWidth="1"/>
    <col min="411" max="411" width="11.85546875" bestFit="1" customWidth="1"/>
    <col min="412" max="412" width="14.5703125" bestFit="1" customWidth="1"/>
    <col min="413" max="413" width="11.85546875" bestFit="1" customWidth="1"/>
    <col min="414" max="414" width="14.5703125" bestFit="1" customWidth="1"/>
    <col min="415" max="415" width="11.85546875" bestFit="1" customWidth="1"/>
    <col min="416" max="416" width="14.5703125" bestFit="1" customWidth="1"/>
    <col min="417" max="417" width="11.85546875" bestFit="1" customWidth="1"/>
    <col min="418" max="418" width="14.5703125" bestFit="1" customWidth="1"/>
    <col min="419" max="419" width="11.85546875" bestFit="1" customWidth="1"/>
    <col min="420" max="420" width="14.5703125" bestFit="1" customWidth="1"/>
    <col min="421" max="421" width="11.85546875" bestFit="1" customWidth="1"/>
    <col min="422" max="422" width="14.5703125" bestFit="1" customWidth="1"/>
    <col min="423" max="423" width="11.85546875" bestFit="1" customWidth="1"/>
    <col min="424" max="424" width="14.5703125" bestFit="1" customWidth="1"/>
    <col min="425" max="425" width="11.85546875" bestFit="1" customWidth="1"/>
    <col min="426" max="426" width="14.5703125" bestFit="1" customWidth="1"/>
    <col min="427" max="427" width="11.85546875" bestFit="1" customWidth="1"/>
    <col min="428" max="428" width="14.5703125" bestFit="1" customWidth="1"/>
    <col min="429" max="429" width="11.85546875" bestFit="1" customWidth="1"/>
    <col min="430" max="430" width="14.5703125" bestFit="1" customWidth="1"/>
    <col min="431" max="431" width="11.85546875" bestFit="1" customWidth="1"/>
    <col min="432" max="432" width="14.5703125" bestFit="1" customWidth="1"/>
    <col min="433" max="433" width="11.85546875" bestFit="1" customWidth="1"/>
    <col min="434" max="434" width="14.5703125" bestFit="1" customWidth="1"/>
    <col min="435" max="435" width="11.85546875" bestFit="1" customWidth="1"/>
    <col min="436" max="436" width="14.5703125" bestFit="1" customWidth="1"/>
    <col min="437" max="437" width="11.85546875" bestFit="1" customWidth="1"/>
    <col min="438" max="438" width="14.5703125" bestFit="1" customWidth="1"/>
    <col min="439" max="439" width="11.85546875" bestFit="1" customWidth="1"/>
    <col min="440" max="440" width="14.5703125" bestFit="1" customWidth="1"/>
    <col min="441" max="441" width="11.85546875" bestFit="1" customWidth="1"/>
    <col min="442" max="442" width="14.5703125" bestFit="1" customWidth="1"/>
    <col min="443" max="443" width="11.85546875" bestFit="1" customWidth="1"/>
    <col min="444" max="444" width="14.5703125" bestFit="1" customWidth="1"/>
    <col min="445" max="445" width="11.85546875" bestFit="1" customWidth="1"/>
    <col min="446" max="446" width="14.5703125" bestFit="1" customWidth="1"/>
    <col min="447" max="447" width="11.85546875" bestFit="1" customWidth="1"/>
    <col min="448" max="448" width="14.5703125" bestFit="1" customWidth="1"/>
    <col min="449" max="449" width="11.85546875" bestFit="1" customWidth="1"/>
    <col min="450" max="450" width="14.5703125" bestFit="1" customWidth="1"/>
    <col min="451" max="451" width="10.85546875" bestFit="1" customWidth="1"/>
    <col min="452" max="452" width="13.5703125" bestFit="1" customWidth="1"/>
    <col min="453" max="453" width="11.85546875" bestFit="1" customWidth="1"/>
    <col min="454" max="454" width="14.5703125" bestFit="1" customWidth="1"/>
    <col min="455" max="455" width="11.85546875" bestFit="1" customWidth="1"/>
    <col min="456" max="456" width="14.5703125" bestFit="1" customWidth="1"/>
    <col min="457" max="457" width="11.85546875" bestFit="1" customWidth="1"/>
    <col min="458" max="458" width="14.5703125" bestFit="1" customWidth="1"/>
    <col min="459" max="459" width="10.85546875" bestFit="1" customWidth="1"/>
    <col min="460" max="460" width="13.5703125" bestFit="1" customWidth="1"/>
    <col min="461" max="461" width="11.85546875" bestFit="1" customWidth="1"/>
    <col min="462" max="462" width="14.5703125" bestFit="1" customWidth="1"/>
    <col min="463" max="463" width="11.85546875" bestFit="1" customWidth="1"/>
    <col min="464" max="464" width="14.5703125" bestFit="1" customWidth="1"/>
    <col min="465" max="465" width="11.85546875" bestFit="1" customWidth="1"/>
    <col min="466" max="466" width="14.5703125" bestFit="1" customWidth="1"/>
    <col min="467" max="467" width="11.85546875" bestFit="1" customWidth="1"/>
    <col min="468" max="468" width="14.5703125" bestFit="1" customWidth="1"/>
    <col min="469" max="469" width="11.85546875" bestFit="1" customWidth="1"/>
    <col min="470" max="470" width="14.5703125" bestFit="1" customWidth="1"/>
    <col min="471" max="471" width="11.85546875" bestFit="1" customWidth="1"/>
    <col min="472" max="472" width="14.5703125" bestFit="1" customWidth="1"/>
    <col min="473" max="473" width="10.85546875" bestFit="1" customWidth="1"/>
    <col min="474" max="474" width="13.5703125" bestFit="1" customWidth="1"/>
    <col min="475" max="475" width="11.85546875" bestFit="1" customWidth="1"/>
    <col min="476" max="476" width="14.5703125" bestFit="1" customWidth="1"/>
    <col min="477" max="477" width="11.85546875" bestFit="1" customWidth="1"/>
    <col min="478" max="478" width="14.5703125" bestFit="1" customWidth="1"/>
    <col min="479" max="479" width="11.85546875" bestFit="1" customWidth="1"/>
    <col min="480" max="480" width="14.5703125" bestFit="1" customWidth="1"/>
    <col min="481" max="481" width="11.85546875" bestFit="1" customWidth="1"/>
    <col min="482" max="482" width="14.5703125" bestFit="1" customWidth="1"/>
    <col min="483" max="483" width="11.85546875" bestFit="1" customWidth="1"/>
    <col min="484" max="484" width="14.5703125" bestFit="1" customWidth="1"/>
    <col min="485" max="485" width="11.85546875" bestFit="1" customWidth="1"/>
    <col min="486" max="486" width="14.5703125" bestFit="1" customWidth="1"/>
    <col min="487" max="487" width="11.85546875" bestFit="1" customWidth="1"/>
    <col min="488" max="488" width="14.5703125" bestFit="1" customWidth="1"/>
    <col min="489" max="489" width="11.85546875" bestFit="1" customWidth="1"/>
    <col min="490" max="490" width="14.5703125" bestFit="1" customWidth="1"/>
    <col min="491" max="491" width="11.85546875" bestFit="1" customWidth="1"/>
    <col min="492" max="492" width="14.5703125" bestFit="1" customWidth="1"/>
    <col min="493" max="493" width="11.85546875" bestFit="1" customWidth="1"/>
    <col min="494" max="494" width="14.5703125" bestFit="1" customWidth="1"/>
    <col min="495" max="495" width="11.85546875" bestFit="1" customWidth="1"/>
    <col min="496" max="496" width="14.5703125" bestFit="1" customWidth="1"/>
    <col min="497" max="497" width="11.85546875" bestFit="1" customWidth="1"/>
    <col min="498" max="498" width="14.5703125" bestFit="1" customWidth="1"/>
    <col min="499" max="499" width="11.85546875" bestFit="1" customWidth="1"/>
    <col min="500" max="500" width="14.5703125" bestFit="1" customWidth="1"/>
    <col min="501" max="501" width="10.85546875" bestFit="1" customWidth="1"/>
    <col min="502" max="502" width="13.5703125" bestFit="1" customWidth="1"/>
    <col min="503" max="503" width="11.85546875" bestFit="1" customWidth="1"/>
    <col min="504" max="504" width="14.5703125" bestFit="1" customWidth="1"/>
    <col min="505" max="505" width="11.85546875" bestFit="1" customWidth="1"/>
    <col min="506" max="506" width="14.5703125" bestFit="1" customWidth="1"/>
    <col min="507" max="507" width="11.85546875" bestFit="1" customWidth="1"/>
    <col min="508" max="508" width="14.5703125" bestFit="1" customWidth="1"/>
    <col min="509" max="509" width="11.85546875" bestFit="1" customWidth="1"/>
    <col min="510" max="510" width="14.5703125" bestFit="1" customWidth="1"/>
    <col min="511" max="511" width="11.85546875" bestFit="1" customWidth="1"/>
    <col min="512" max="512" width="14.5703125" bestFit="1" customWidth="1"/>
    <col min="513" max="513" width="11.85546875" bestFit="1" customWidth="1"/>
    <col min="514" max="514" width="14.5703125" bestFit="1" customWidth="1"/>
    <col min="515" max="515" width="11.85546875" bestFit="1" customWidth="1"/>
    <col min="516" max="516" width="14.5703125" bestFit="1" customWidth="1"/>
    <col min="517" max="517" width="11.85546875" bestFit="1" customWidth="1"/>
    <col min="518" max="518" width="14.5703125" bestFit="1" customWidth="1"/>
    <col min="519" max="519" width="11.85546875" bestFit="1" customWidth="1"/>
    <col min="520" max="520" width="14.5703125" bestFit="1" customWidth="1"/>
    <col min="521" max="521" width="11.85546875" bestFit="1" customWidth="1"/>
    <col min="522" max="522" width="14.5703125" bestFit="1" customWidth="1"/>
    <col min="523" max="523" width="8.85546875" bestFit="1" customWidth="1"/>
    <col min="524" max="525" width="11.85546875" bestFit="1" customWidth="1"/>
    <col min="526" max="526" width="14.5703125" bestFit="1" customWidth="1"/>
    <col min="527" max="527" width="11.85546875" bestFit="1" customWidth="1"/>
    <col min="528" max="528" width="14.5703125" bestFit="1" customWidth="1"/>
    <col min="529" max="529" width="11.85546875" bestFit="1" customWidth="1"/>
    <col min="530" max="530" width="14.5703125" bestFit="1" customWidth="1"/>
    <col min="531" max="531" width="11.85546875" bestFit="1" customWidth="1"/>
    <col min="532" max="532" width="14.5703125" bestFit="1" customWidth="1"/>
    <col min="533" max="533" width="11.85546875" bestFit="1" customWidth="1"/>
    <col min="534" max="534" width="14.5703125" bestFit="1" customWidth="1"/>
    <col min="535" max="535" width="11.85546875" bestFit="1" customWidth="1"/>
    <col min="536" max="536" width="14.5703125" bestFit="1" customWidth="1"/>
    <col min="537" max="537" width="11.85546875" bestFit="1" customWidth="1"/>
    <col min="538" max="538" width="14.5703125" bestFit="1" customWidth="1"/>
    <col min="539" max="539" width="11.85546875" bestFit="1" customWidth="1"/>
    <col min="540" max="540" width="14.5703125" bestFit="1" customWidth="1"/>
    <col min="541" max="541" width="11.85546875" bestFit="1" customWidth="1"/>
    <col min="542" max="542" width="14.5703125" bestFit="1" customWidth="1"/>
    <col min="543" max="543" width="11.85546875" bestFit="1" customWidth="1"/>
    <col min="544" max="544" width="14.5703125" bestFit="1" customWidth="1"/>
    <col min="545" max="545" width="11.85546875" bestFit="1" customWidth="1"/>
    <col min="546" max="546" width="14.5703125" bestFit="1" customWidth="1"/>
    <col min="547" max="547" width="11.85546875" bestFit="1" customWidth="1"/>
    <col min="548" max="548" width="14.5703125" bestFit="1" customWidth="1"/>
    <col min="549" max="549" width="11.85546875" bestFit="1" customWidth="1"/>
    <col min="550" max="550" width="14.5703125" bestFit="1" customWidth="1"/>
    <col min="551" max="551" width="11.85546875" bestFit="1" customWidth="1"/>
    <col min="552" max="552" width="14.5703125" bestFit="1" customWidth="1"/>
    <col min="553" max="553" width="11.85546875" bestFit="1" customWidth="1"/>
    <col min="554" max="554" width="14.5703125" bestFit="1" customWidth="1"/>
    <col min="555" max="555" width="11.85546875" bestFit="1" customWidth="1"/>
    <col min="556" max="556" width="14.5703125" bestFit="1" customWidth="1"/>
    <col min="557" max="557" width="11.85546875" bestFit="1" customWidth="1"/>
    <col min="558" max="558" width="14.5703125" bestFit="1" customWidth="1"/>
    <col min="559" max="559" width="11.85546875" bestFit="1" customWidth="1"/>
    <col min="560" max="560" width="14.5703125" bestFit="1" customWidth="1"/>
    <col min="561" max="561" width="11.85546875" bestFit="1" customWidth="1"/>
    <col min="562" max="562" width="14.5703125" bestFit="1" customWidth="1"/>
    <col min="563" max="563" width="11.85546875" bestFit="1" customWidth="1"/>
    <col min="564" max="564" width="14.5703125" bestFit="1" customWidth="1"/>
    <col min="565" max="565" width="11.85546875" bestFit="1" customWidth="1"/>
    <col min="566" max="566" width="14.5703125" bestFit="1" customWidth="1"/>
    <col min="567" max="567" width="11.85546875" bestFit="1" customWidth="1"/>
    <col min="568" max="568" width="14.5703125" bestFit="1" customWidth="1"/>
    <col min="569" max="569" width="11.85546875" bestFit="1" customWidth="1"/>
    <col min="570" max="570" width="14.5703125" bestFit="1" customWidth="1"/>
    <col min="571" max="571" width="11.85546875" bestFit="1" customWidth="1"/>
    <col min="572" max="572" width="14.5703125" bestFit="1" customWidth="1"/>
    <col min="573" max="573" width="11.85546875" bestFit="1" customWidth="1"/>
    <col min="574" max="574" width="14.5703125" bestFit="1" customWidth="1"/>
    <col min="575" max="575" width="11.85546875" bestFit="1" customWidth="1"/>
    <col min="576" max="576" width="14.5703125" bestFit="1" customWidth="1"/>
    <col min="577" max="577" width="11.85546875" bestFit="1" customWidth="1"/>
    <col min="578" max="578" width="14.5703125" bestFit="1" customWidth="1"/>
    <col min="579" max="579" width="11.85546875" bestFit="1" customWidth="1"/>
    <col min="580" max="580" width="14.5703125" bestFit="1" customWidth="1"/>
    <col min="581" max="581" width="11.85546875" bestFit="1" customWidth="1"/>
    <col min="582" max="582" width="14.5703125" bestFit="1" customWidth="1"/>
    <col min="583" max="583" width="11.85546875" bestFit="1" customWidth="1"/>
    <col min="584" max="584" width="14.5703125" bestFit="1" customWidth="1"/>
    <col min="585" max="585" width="11.85546875" bestFit="1" customWidth="1"/>
    <col min="586" max="586" width="14.5703125" bestFit="1" customWidth="1"/>
    <col min="587" max="587" width="11.85546875" bestFit="1" customWidth="1"/>
    <col min="588" max="588" width="14.5703125" bestFit="1" customWidth="1"/>
    <col min="589" max="589" width="11.85546875" bestFit="1" customWidth="1"/>
    <col min="590" max="590" width="14.5703125" bestFit="1" customWidth="1"/>
    <col min="591" max="591" width="11.85546875" bestFit="1" customWidth="1"/>
    <col min="592" max="592" width="14.5703125" bestFit="1" customWidth="1"/>
    <col min="593" max="593" width="10.85546875" bestFit="1" customWidth="1"/>
    <col min="594" max="594" width="13.5703125" bestFit="1" customWidth="1"/>
    <col min="595" max="595" width="11.85546875" bestFit="1" customWidth="1"/>
    <col min="596" max="596" width="14.5703125" bestFit="1" customWidth="1"/>
    <col min="597" max="597" width="11.85546875" bestFit="1" customWidth="1"/>
    <col min="598" max="598" width="14.5703125" bestFit="1" customWidth="1"/>
    <col min="599" max="599" width="11.85546875" bestFit="1" customWidth="1"/>
    <col min="600" max="600" width="14.5703125" bestFit="1" customWidth="1"/>
    <col min="601" max="601" width="11.85546875" bestFit="1" customWidth="1"/>
    <col min="602" max="602" width="14.5703125" bestFit="1" customWidth="1"/>
    <col min="603" max="603" width="10.85546875" bestFit="1" customWidth="1"/>
    <col min="604" max="604" width="13.5703125" bestFit="1" customWidth="1"/>
    <col min="605" max="605" width="11.85546875" bestFit="1" customWidth="1"/>
    <col min="606" max="606" width="14.5703125" bestFit="1" customWidth="1"/>
    <col min="607" max="607" width="11.28515625" bestFit="1" customWidth="1"/>
  </cols>
  <sheetData>
    <row r="2" spans="1:24" x14ac:dyDescent="0.25">
      <c r="O2" s="6"/>
      <c r="P2" s="6"/>
      <c r="R2" t="s">
        <v>896</v>
      </c>
      <c r="S2" t="s">
        <v>897</v>
      </c>
      <c r="V2" t="str">
        <f>UPPER(R2)</f>
        <v>MONTHLY TRENDS</v>
      </c>
      <c r="W2" t="str">
        <f>UPPER(S2)</f>
        <v>(2024 VS 2025)</v>
      </c>
    </row>
    <row r="3" spans="1:24" x14ac:dyDescent="0.25">
      <c r="A3" t="s">
        <v>872</v>
      </c>
      <c r="R3" s="3" t="s">
        <v>872</v>
      </c>
      <c r="S3" s="3" t="s">
        <v>876</v>
      </c>
    </row>
    <row r="4" spans="1:24" x14ac:dyDescent="0.25">
      <c r="A4" s="4">
        <v>76174724.849999949</v>
      </c>
      <c r="R4" s="3" t="s">
        <v>874</v>
      </c>
      <c r="S4">
        <v>2024</v>
      </c>
      <c r="T4">
        <v>2025</v>
      </c>
      <c r="U4" t="s">
        <v>875</v>
      </c>
    </row>
    <row r="5" spans="1:24" x14ac:dyDescent="0.25">
      <c r="R5" s="5" t="s">
        <v>882</v>
      </c>
      <c r="S5" s="4">
        <v>4133472.5999999996</v>
      </c>
      <c r="T5" s="4">
        <v>3739232.18</v>
      </c>
      <c r="U5" s="4">
        <v>7872704.7799999993</v>
      </c>
      <c r="W5" s="5" t="s">
        <v>578</v>
      </c>
      <c r="X5" s="4">
        <v>898806</v>
      </c>
    </row>
    <row r="6" spans="1:24" x14ac:dyDescent="0.25">
      <c r="A6" t="s">
        <v>873</v>
      </c>
      <c r="R6" s="5" t="s">
        <v>883</v>
      </c>
      <c r="S6" s="4">
        <v>1192719.75</v>
      </c>
      <c r="T6" s="4">
        <v>1504859.2700000003</v>
      </c>
      <c r="U6" s="4">
        <v>2697579.0200000005</v>
      </c>
      <c r="W6" s="5" t="s">
        <v>652</v>
      </c>
      <c r="X6" s="4">
        <v>539482.17000000004</v>
      </c>
    </row>
    <row r="7" spans="1:24" x14ac:dyDescent="0.25">
      <c r="A7" s="4">
        <v>11775883.25999999</v>
      </c>
      <c r="R7" s="5" t="s">
        <v>884</v>
      </c>
      <c r="S7" s="4">
        <v>3200324.96</v>
      </c>
      <c r="T7" s="4">
        <v>3858260.25</v>
      </c>
      <c r="U7" s="4">
        <v>7058585.21</v>
      </c>
      <c r="W7" s="5" t="s">
        <v>592</v>
      </c>
      <c r="X7" s="4">
        <v>499411.38</v>
      </c>
    </row>
    <row r="8" spans="1:24" x14ac:dyDescent="0.25">
      <c r="R8" s="5" t="s">
        <v>885</v>
      </c>
      <c r="S8" s="4">
        <v>2168045.58</v>
      </c>
      <c r="T8" s="4">
        <v>3997842.7299999995</v>
      </c>
      <c r="U8" s="4">
        <v>6165888.3099999996</v>
      </c>
      <c r="W8" s="5" t="s">
        <v>705</v>
      </c>
      <c r="X8" s="4">
        <v>497016.7</v>
      </c>
    </row>
    <row r="9" spans="1:24" x14ac:dyDescent="0.25">
      <c r="A9" s="4"/>
      <c r="R9" s="5" t="s">
        <v>886</v>
      </c>
      <c r="S9" s="4">
        <v>2695392.6</v>
      </c>
      <c r="T9" s="4">
        <v>2253193.02</v>
      </c>
      <c r="U9" s="4">
        <v>4948585.62</v>
      </c>
      <c r="W9" s="5" t="s">
        <v>841</v>
      </c>
      <c r="X9" s="4">
        <v>496506.56</v>
      </c>
    </row>
    <row r="10" spans="1:24" x14ac:dyDescent="0.25">
      <c r="R10" s="5" t="s">
        <v>887</v>
      </c>
      <c r="S10" s="4">
        <v>2107059.12</v>
      </c>
      <c r="T10" s="4">
        <v>1363430.44</v>
      </c>
      <c r="U10" s="4">
        <v>3470489.56</v>
      </c>
      <c r="W10" s="5" t="s">
        <v>699</v>
      </c>
      <c r="X10" s="4">
        <v>492768.01</v>
      </c>
    </row>
    <row r="11" spans="1:24" x14ac:dyDescent="0.25">
      <c r="A11" s="4"/>
      <c r="R11" s="5" t="s">
        <v>888</v>
      </c>
      <c r="S11" s="4">
        <v>4007801.9000000004</v>
      </c>
      <c r="T11" s="4">
        <v>5222022.04</v>
      </c>
      <c r="U11" s="4">
        <v>9229823.9400000013</v>
      </c>
      <c r="W11" s="5" t="s">
        <v>786</v>
      </c>
      <c r="X11" s="4">
        <v>489678.08000000002</v>
      </c>
    </row>
    <row r="12" spans="1:24" x14ac:dyDescent="0.25">
      <c r="R12" s="5" t="s">
        <v>889</v>
      </c>
      <c r="S12" s="4">
        <v>3049364.5999999996</v>
      </c>
      <c r="T12" s="4">
        <v>3337309.54</v>
      </c>
      <c r="U12" s="4">
        <v>6386674.1399999997</v>
      </c>
      <c r="W12" s="5" t="s">
        <v>817</v>
      </c>
      <c r="X12" s="4">
        <v>489055.82</v>
      </c>
    </row>
    <row r="13" spans="1:24" x14ac:dyDescent="0.25">
      <c r="R13" s="5" t="s">
        <v>890</v>
      </c>
      <c r="S13" s="4">
        <v>2615102.7000000002</v>
      </c>
      <c r="T13" s="4">
        <v>4630052.78</v>
      </c>
      <c r="U13" s="4">
        <v>7245155.4800000004</v>
      </c>
      <c r="W13" s="5" t="s">
        <v>852</v>
      </c>
      <c r="X13" s="4">
        <v>484302.9</v>
      </c>
    </row>
    <row r="14" spans="1:24" x14ac:dyDescent="0.25">
      <c r="R14" s="5" t="s">
        <v>891</v>
      </c>
      <c r="S14" s="4">
        <v>4045846.82</v>
      </c>
      <c r="T14" s="4">
        <v>5031357.51</v>
      </c>
      <c r="U14" s="4">
        <v>9077204.3300000001</v>
      </c>
      <c r="W14" s="5" t="s">
        <v>608</v>
      </c>
      <c r="X14" s="4">
        <v>483902.13</v>
      </c>
    </row>
    <row r="15" spans="1:24" x14ac:dyDescent="0.25">
      <c r="R15" s="5" t="s">
        <v>892</v>
      </c>
      <c r="S15" s="4">
        <v>3612293.87</v>
      </c>
      <c r="T15" s="4">
        <v>2493562.81</v>
      </c>
      <c r="U15" s="4">
        <v>6105856.6799999997</v>
      </c>
    </row>
    <row r="16" spans="1:24" x14ac:dyDescent="0.25">
      <c r="R16" s="5" t="s">
        <v>893</v>
      </c>
      <c r="S16" s="4">
        <v>3667057.2800000003</v>
      </c>
      <c r="T16" s="4">
        <v>2249120.5</v>
      </c>
      <c r="U16" s="4">
        <v>5916177.7800000003</v>
      </c>
    </row>
    <row r="17" spans="1:21" x14ac:dyDescent="0.25">
      <c r="R17" s="5" t="s">
        <v>875</v>
      </c>
      <c r="S17" s="4">
        <v>36494481.780000001</v>
      </c>
      <c r="T17" s="4">
        <v>39680243.07</v>
      </c>
      <c r="U17" s="4">
        <v>76174724.849999994</v>
      </c>
    </row>
    <row r="20" spans="1:21" x14ac:dyDescent="0.25">
      <c r="A20" s="7" t="s">
        <v>877</v>
      </c>
      <c r="B20" s="7"/>
    </row>
    <row r="21" spans="1:21" x14ac:dyDescent="0.25">
      <c r="A21" s="3" t="s">
        <v>873</v>
      </c>
      <c r="B21" s="3" t="s">
        <v>876</v>
      </c>
    </row>
    <row r="22" spans="1:21" x14ac:dyDescent="0.25">
      <c r="A22" s="3" t="s">
        <v>874</v>
      </c>
      <c r="B22" t="s">
        <v>561</v>
      </c>
      <c r="C22" t="s">
        <v>559</v>
      </c>
      <c r="D22" t="s">
        <v>560</v>
      </c>
      <c r="E22" t="s">
        <v>875</v>
      </c>
    </row>
    <row r="23" spans="1:21" x14ac:dyDescent="0.25">
      <c r="A23" s="5">
        <v>2024</v>
      </c>
      <c r="B23" s="4">
        <v>2247467.52</v>
      </c>
      <c r="C23" s="4">
        <v>1711870.1499999994</v>
      </c>
      <c r="D23" s="4">
        <v>1727482.54</v>
      </c>
      <c r="E23" s="4">
        <v>5686820.209999999</v>
      </c>
    </row>
    <row r="24" spans="1:21" x14ac:dyDescent="0.25">
      <c r="A24" s="5">
        <v>2025</v>
      </c>
      <c r="B24" s="4">
        <v>1799076.6</v>
      </c>
      <c r="C24" s="4">
        <v>2151177.7400000002</v>
      </c>
      <c r="D24" s="4">
        <v>2138808.71</v>
      </c>
      <c r="E24" s="4">
        <v>6089063.0500000007</v>
      </c>
    </row>
    <row r="25" spans="1:21" x14ac:dyDescent="0.25">
      <c r="A25" s="5" t="s">
        <v>875</v>
      </c>
      <c r="B25" s="4">
        <v>4046544.12</v>
      </c>
      <c r="C25" s="4">
        <v>3863047.8899999997</v>
      </c>
      <c r="D25" s="4">
        <v>3866291.25</v>
      </c>
      <c r="E25" s="4">
        <v>11775883.26</v>
      </c>
    </row>
    <row r="27" spans="1:21" x14ac:dyDescent="0.25">
      <c r="A27" s="7" t="s">
        <v>878</v>
      </c>
      <c r="B27" s="7"/>
    </row>
    <row r="28" spans="1:21" x14ac:dyDescent="0.25">
      <c r="A28" s="3" t="s">
        <v>874</v>
      </c>
      <c r="B28" t="s">
        <v>872</v>
      </c>
      <c r="C28" t="s">
        <v>898</v>
      </c>
      <c r="D28" t="s">
        <v>899</v>
      </c>
    </row>
    <row r="29" spans="1:21" x14ac:dyDescent="0.25">
      <c r="A29" s="5" t="s">
        <v>571</v>
      </c>
      <c r="B29" s="4">
        <v>8151267.6000000015</v>
      </c>
      <c r="C29" t="str">
        <f>A29</f>
        <v>TV</v>
      </c>
      <c r="D29" s="4">
        <f>B29</f>
        <v>8151267.6000000015</v>
      </c>
    </row>
    <row r="30" spans="1:21" x14ac:dyDescent="0.25">
      <c r="A30" s="5" t="s">
        <v>563</v>
      </c>
      <c r="B30" s="4">
        <v>7399685.8600000003</v>
      </c>
      <c r="C30" t="str">
        <f>A30</f>
        <v>Shelves</v>
      </c>
      <c r="D30" s="4">
        <f>B30</f>
        <v>7399685.8600000003</v>
      </c>
    </row>
    <row r="31" spans="1:21" x14ac:dyDescent="0.25">
      <c r="A31" s="5" t="s">
        <v>565</v>
      </c>
      <c r="B31" s="4">
        <v>7227501.8600000013</v>
      </c>
      <c r="C31" t="str">
        <f>A31</f>
        <v>Tables</v>
      </c>
      <c r="D31" s="4">
        <f>B31</f>
        <v>7227501.8600000013</v>
      </c>
    </row>
    <row r="32" spans="1:21" x14ac:dyDescent="0.25">
      <c r="A32" s="5" t="s">
        <v>568</v>
      </c>
      <c r="B32" s="4">
        <v>6826520.4899999984</v>
      </c>
      <c r="C32" t="str">
        <f>A32</f>
        <v>Accessories</v>
      </c>
      <c r="D32" s="4">
        <f>B32</f>
        <v>6826520.4899999984</v>
      </c>
    </row>
    <row r="33" spans="1:4" x14ac:dyDescent="0.25">
      <c r="A33" s="5" t="s">
        <v>564</v>
      </c>
      <c r="B33" s="4">
        <v>6762251.9900000002</v>
      </c>
      <c r="C33" t="str">
        <f>A33</f>
        <v>Paper</v>
      </c>
      <c r="D33" s="4">
        <f>B33</f>
        <v>6762251.9900000002</v>
      </c>
    </row>
    <row r="34" spans="1:4" x14ac:dyDescent="0.25">
      <c r="A34" s="5" t="s">
        <v>569</v>
      </c>
      <c r="B34" s="4">
        <v>6711838.1900000013</v>
      </c>
      <c r="C34" t="str">
        <f>A34</f>
        <v>Staplers</v>
      </c>
      <c r="D34" s="4">
        <f>B34</f>
        <v>6711838.1900000013</v>
      </c>
    </row>
    <row r="35" spans="1:4" x14ac:dyDescent="0.25">
      <c r="A35" s="5" t="s">
        <v>570</v>
      </c>
      <c r="B35" s="4">
        <v>6311185.9100000011</v>
      </c>
      <c r="C35" t="str">
        <f>A35</f>
        <v>Phones</v>
      </c>
      <c r="D35" s="4">
        <f>B35</f>
        <v>6311185.9100000011</v>
      </c>
    </row>
    <row r="36" spans="1:4" x14ac:dyDescent="0.25">
      <c r="A36" s="5" t="s">
        <v>567</v>
      </c>
      <c r="B36" s="4">
        <v>6279500.0200000005</v>
      </c>
      <c r="C36" t="str">
        <f>A36</f>
        <v>Cabinets</v>
      </c>
      <c r="D36" s="4">
        <f>B36</f>
        <v>6279500.0200000005</v>
      </c>
    </row>
    <row r="37" spans="1:4" x14ac:dyDescent="0.25">
      <c r="A37" s="5" t="s">
        <v>572</v>
      </c>
      <c r="B37" s="4">
        <v>5993001.7699999986</v>
      </c>
      <c r="C37" t="str">
        <f>A37</f>
        <v>Laptops</v>
      </c>
      <c r="D37" s="4">
        <f>B37</f>
        <v>5993001.7699999986</v>
      </c>
    </row>
    <row r="38" spans="1:4" x14ac:dyDescent="0.25">
      <c r="A38" s="5" t="s">
        <v>566</v>
      </c>
      <c r="B38" s="4">
        <v>5789849.7700000005</v>
      </c>
      <c r="C38" t="str">
        <f>A38</f>
        <v>Chairs</v>
      </c>
      <c r="D38" s="4">
        <f>B38</f>
        <v>5789849.7700000005</v>
      </c>
    </row>
    <row r="39" spans="1:4" x14ac:dyDescent="0.25">
      <c r="A39" s="5" t="s">
        <v>562</v>
      </c>
      <c r="B39" s="4">
        <v>4807086.3800000008</v>
      </c>
      <c r="C39" t="str">
        <f>A39</f>
        <v>Sofas</v>
      </c>
      <c r="D39" s="4">
        <f>B39</f>
        <v>4807086.3800000008</v>
      </c>
    </row>
    <row r="40" spans="1:4" x14ac:dyDescent="0.25">
      <c r="A40" s="5" t="s">
        <v>573</v>
      </c>
      <c r="B40" s="4">
        <v>3915035.0100000002</v>
      </c>
      <c r="C40" t="str">
        <f>A40</f>
        <v>Pens</v>
      </c>
      <c r="D40" s="4">
        <f>B40</f>
        <v>3915035.0100000002</v>
      </c>
    </row>
    <row r="41" spans="1:4" x14ac:dyDescent="0.25">
      <c r="A41" s="5" t="s">
        <v>875</v>
      </c>
      <c r="B41" s="4">
        <v>76174724.849999994</v>
      </c>
      <c r="C41" t="str">
        <f>A41</f>
        <v>Grand Total</v>
      </c>
      <c r="D41" s="4">
        <f>B41</f>
        <v>76174724.849999994</v>
      </c>
    </row>
    <row r="44" spans="1:4" x14ac:dyDescent="0.25">
      <c r="A44" s="7" t="s">
        <v>879</v>
      </c>
      <c r="B44" s="7"/>
    </row>
    <row r="45" spans="1:4" x14ac:dyDescent="0.25">
      <c r="A45" s="3" t="s">
        <v>874</v>
      </c>
      <c r="B45" t="s">
        <v>873</v>
      </c>
    </row>
    <row r="46" spans="1:4" x14ac:dyDescent="0.25">
      <c r="A46" s="5" t="s">
        <v>461</v>
      </c>
      <c r="B46" s="4">
        <v>102606.63</v>
      </c>
    </row>
    <row r="47" spans="1:4" x14ac:dyDescent="0.25">
      <c r="A47" s="5" t="s">
        <v>253</v>
      </c>
      <c r="B47" s="4">
        <v>107897.1</v>
      </c>
    </row>
    <row r="48" spans="1:4" x14ac:dyDescent="0.25">
      <c r="A48" s="5" t="s">
        <v>298</v>
      </c>
      <c r="B48" s="4">
        <v>108957.54</v>
      </c>
    </row>
    <row r="49" spans="1:2" x14ac:dyDescent="0.25">
      <c r="A49" s="5" t="s">
        <v>529</v>
      </c>
      <c r="B49" s="4">
        <v>114862.71</v>
      </c>
    </row>
    <row r="50" spans="1:2" x14ac:dyDescent="0.25">
      <c r="A50" s="5" t="s">
        <v>374</v>
      </c>
      <c r="B50" s="4">
        <v>114890.12</v>
      </c>
    </row>
    <row r="51" spans="1:2" x14ac:dyDescent="0.25">
      <c r="A51" s="5" t="s">
        <v>875</v>
      </c>
      <c r="B51" s="4">
        <v>549214.1</v>
      </c>
    </row>
    <row r="59" spans="1:2" x14ac:dyDescent="0.25">
      <c r="A59" s="7" t="s">
        <v>894</v>
      </c>
      <c r="B59" s="7"/>
    </row>
    <row r="60" spans="1:2" x14ac:dyDescent="0.25">
      <c r="A60" s="3" t="s">
        <v>874</v>
      </c>
      <c r="B60" t="s">
        <v>872</v>
      </c>
    </row>
    <row r="61" spans="1:2" x14ac:dyDescent="0.25">
      <c r="A61" s="5" t="s">
        <v>882</v>
      </c>
      <c r="B61" s="4">
        <v>7872704.7800000003</v>
      </c>
    </row>
    <row r="62" spans="1:2" x14ac:dyDescent="0.25">
      <c r="A62" s="5" t="s">
        <v>883</v>
      </c>
      <c r="B62" s="4">
        <v>2697579.02</v>
      </c>
    </row>
    <row r="63" spans="1:2" x14ac:dyDescent="0.25">
      <c r="A63" s="5" t="s">
        <v>884</v>
      </c>
      <c r="B63" s="4">
        <v>7058585.21</v>
      </c>
    </row>
    <row r="64" spans="1:2" x14ac:dyDescent="0.25">
      <c r="A64" s="5" t="s">
        <v>885</v>
      </c>
      <c r="B64" s="4">
        <v>6165888.3100000005</v>
      </c>
    </row>
    <row r="65" spans="1:5" x14ac:dyDescent="0.25">
      <c r="A65" s="5" t="s">
        <v>886</v>
      </c>
      <c r="B65" s="4">
        <v>4948585.62</v>
      </c>
    </row>
    <row r="66" spans="1:5" x14ac:dyDescent="0.25">
      <c r="A66" s="5" t="s">
        <v>887</v>
      </c>
      <c r="B66" s="4">
        <v>3470489.5600000005</v>
      </c>
    </row>
    <row r="67" spans="1:5" x14ac:dyDescent="0.25">
      <c r="A67" s="5" t="s">
        <v>888</v>
      </c>
      <c r="B67" s="4">
        <v>9229823.9400000013</v>
      </c>
    </row>
    <row r="68" spans="1:5" x14ac:dyDescent="0.25">
      <c r="A68" s="5" t="s">
        <v>889</v>
      </c>
      <c r="B68" s="4">
        <v>6386674.1399999997</v>
      </c>
    </row>
    <row r="69" spans="1:5" x14ac:dyDescent="0.25">
      <c r="A69" s="5" t="s">
        <v>890</v>
      </c>
      <c r="B69" s="4">
        <v>7245155.4799999995</v>
      </c>
    </row>
    <row r="70" spans="1:5" x14ac:dyDescent="0.25">
      <c r="A70" s="5" t="s">
        <v>891</v>
      </c>
      <c r="B70" s="4">
        <v>9077204.3299999982</v>
      </c>
    </row>
    <row r="71" spans="1:5" x14ac:dyDescent="0.25">
      <c r="A71" s="5" t="s">
        <v>892</v>
      </c>
      <c r="B71" s="4">
        <v>6105856.6799999997</v>
      </c>
    </row>
    <row r="72" spans="1:5" x14ac:dyDescent="0.25">
      <c r="A72" s="5" t="s">
        <v>893</v>
      </c>
      <c r="B72" s="4">
        <v>5916177.7800000003</v>
      </c>
    </row>
    <row r="73" spans="1:5" x14ac:dyDescent="0.25">
      <c r="A73" s="5" t="s">
        <v>875</v>
      </c>
      <c r="B73" s="4">
        <v>76174724.849999994</v>
      </c>
    </row>
    <row r="76" spans="1:5" x14ac:dyDescent="0.25">
      <c r="A76" s="7" t="s">
        <v>895</v>
      </c>
      <c r="B76" s="7"/>
    </row>
    <row r="77" spans="1:5" x14ac:dyDescent="0.25">
      <c r="A77" s="3" t="s">
        <v>874</v>
      </c>
      <c r="B77" t="s">
        <v>872</v>
      </c>
      <c r="D77" t="s">
        <v>2</v>
      </c>
      <c r="E77" t="s">
        <v>6</v>
      </c>
    </row>
    <row r="78" spans="1:5" x14ac:dyDescent="0.25">
      <c r="A78" s="5" t="s">
        <v>557</v>
      </c>
      <c r="B78" s="4">
        <v>8239064.2300000014</v>
      </c>
      <c r="D78" s="5" t="s">
        <v>556</v>
      </c>
      <c r="E78" s="4">
        <v>9231595.3099999987</v>
      </c>
    </row>
    <row r="79" spans="1:5" x14ac:dyDescent="0.25">
      <c r="A79" s="5" t="s">
        <v>549</v>
      </c>
      <c r="B79" s="4">
        <v>6612135.7500000009</v>
      </c>
      <c r="D79" s="5" t="s">
        <v>551</v>
      </c>
      <c r="E79" s="4">
        <v>8906888.9000000004</v>
      </c>
    </row>
    <row r="80" spans="1:5" x14ac:dyDescent="0.25">
      <c r="A80" s="5" t="s">
        <v>553</v>
      </c>
      <c r="B80" s="4">
        <v>7698082.9399999995</v>
      </c>
      <c r="D80" s="5" t="s">
        <v>555</v>
      </c>
      <c r="E80" s="4">
        <v>8451388.0999999978</v>
      </c>
    </row>
    <row r="81" spans="1:5" x14ac:dyDescent="0.25">
      <c r="A81" s="5" t="s">
        <v>552</v>
      </c>
      <c r="B81" s="4">
        <v>4903227.25</v>
      </c>
      <c r="D81" s="5" t="s">
        <v>557</v>
      </c>
      <c r="E81" s="4">
        <v>8239064.2300000014</v>
      </c>
    </row>
    <row r="82" spans="1:5" x14ac:dyDescent="0.25">
      <c r="A82" s="5" t="s">
        <v>550</v>
      </c>
      <c r="B82" s="4">
        <v>8012786.3400000017</v>
      </c>
      <c r="D82" s="5" t="s">
        <v>554</v>
      </c>
      <c r="E82" s="4">
        <v>8149988.7999999998</v>
      </c>
    </row>
    <row r="83" spans="1:5" x14ac:dyDescent="0.25">
      <c r="A83" s="5" t="s">
        <v>555</v>
      </c>
      <c r="B83" s="4">
        <v>8451388.0999999978</v>
      </c>
      <c r="D83" s="5" t="s">
        <v>550</v>
      </c>
      <c r="E83" s="4">
        <v>8012786.3400000017</v>
      </c>
    </row>
    <row r="84" spans="1:5" x14ac:dyDescent="0.25">
      <c r="A84" s="5" t="s">
        <v>556</v>
      </c>
      <c r="B84" s="4">
        <v>9231595.3099999987</v>
      </c>
      <c r="D84" s="5" t="s">
        <v>553</v>
      </c>
      <c r="E84" s="4">
        <v>7698082.9399999995</v>
      </c>
    </row>
    <row r="85" spans="1:5" x14ac:dyDescent="0.25">
      <c r="A85" s="5" t="s">
        <v>554</v>
      </c>
      <c r="B85" s="4">
        <v>8149988.7999999998</v>
      </c>
      <c r="D85" s="5" t="s">
        <v>549</v>
      </c>
      <c r="E85" s="4">
        <v>6612135.7500000009</v>
      </c>
    </row>
    <row r="86" spans="1:5" x14ac:dyDescent="0.25">
      <c r="A86" s="5" t="s">
        <v>551</v>
      </c>
      <c r="B86" s="4">
        <v>8906888.9000000004</v>
      </c>
      <c r="D86" s="5" t="s">
        <v>558</v>
      </c>
      <c r="E86" s="4">
        <v>5969567.2299999995</v>
      </c>
    </row>
    <row r="87" spans="1:5" x14ac:dyDescent="0.25">
      <c r="A87" s="5" t="s">
        <v>558</v>
      </c>
      <c r="B87" s="4">
        <v>5969567.2299999995</v>
      </c>
      <c r="D87" s="5" t="s">
        <v>552</v>
      </c>
      <c r="E87" s="4">
        <v>4903227.25</v>
      </c>
    </row>
    <row r="88" spans="1:5" x14ac:dyDescent="0.25">
      <c r="A88" s="5" t="s">
        <v>875</v>
      </c>
      <c r="B88" s="4">
        <v>76174724.850000009</v>
      </c>
      <c r="D88" s="5"/>
      <c r="E88" s="4"/>
    </row>
    <row r="91" spans="1:5" x14ac:dyDescent="0.25">
      <c r="A91" t="s">
        <v>896</v>
      </c>
      <c r="B91" t="s">
        <v>897</v>
      </c>
    </row>
    <row r="92" spans="1:5" x14ac:dyDescent="0.25">
      <c r="A92" s="3" t="s">
        <v>872</v>
      </c>
      <c r="B92" s="3" t="s">
        <v>876</v>
      </c>
    </row>
    <row r="93" spans="1:5" x14ac:dyDescent="0.25">
      <c r="A93" s="3" t="s">
        <v>874</v>
      </c>
      <c r="B93">
        <v>2024</v>
      </c>
      <c r="C93">
        <v>2025</v>
      </c>
      <c r="D93" t="s">
        <v>875</v>
      </c>
    </row>
    <row r="94" spans="1:5" x14ac:dyDescent="0.25">
      <c r="A94" s="5" t="s">
        <v>882</v>
      </c>
      <c r="B94" s="4">
        <v>4133472.5999999996</v>
      </c>
      <c r="C94" s="4">
        <v>3739232.18</v>
      </c>
      <c r="D94" s="4">
        <v>7872704.7799999993</v>
      </c>
    </row>
    <row r="95" spans="1:5" x14ac:dyDescent="0.25">
      <c r="A95" s="5" t="s">
        <v>883</v>
      </c>
      <c r="B95" s="4">
        <v>1192719.75</v>
      </c>
      <c r="C95" s="4">
        <v>1504859.2700000003</v>
      </c>
      <c r="D95" s="4">
        <v>2697579.0200000005</v>
      </c>
    </row>
    <row r="96" spans="1:5" x14ac:dyDescent="0.25">
      <c r="A96" s="5" t="s">
        <v>884</v>
      </c>
      <c r="B96" s="4">
        <v>3200324.96</v>
      </c>
      <c r="C96" s="4">
        <v>3858260.25</v>
      </c>
      <c r="D96" s="4">
        <v>7058585.21</v>
      </c>
    </row>
    <row r="97" spans="1:4" x14ac:dyDescent="0.25">
      <c r="A97" s="5" t="s">
        <v>885</v>
      </c>
      <c r="B97" s="4">
        <v>2168045.58</v>
      </c>
      <c r="C97" s="4">
        <v>3997842.7299999995</v>
      </c>
      <c r="D97" s="4">
        <v>6165888.3099999996</v>
      </c>
    </row>
    <row r="98" spans="1:4" x14ac:dyDescent="0.25">
      <c r="A98" s="5" t="s">
        <v>886</v>
      </c>
      <c r="B98" s="4">
        <v>2695392.6</v>
      </c>
      <c r="C98" s="4">
        <v>2253193.02</v>
      </c>
      <c r="D98" s="4">
        <v>4948585.62</v>
      </c>
    </row>
    <row r="99" spans="1:4" x14ac:dyDescent="0.25">
      <c r="A99" s="5" t="s">
        <v>887</v>
      </c>
      <c r="B99" s="4">
        <v>2107059.12</v>
      </c>
      <c r="C99" s="4">
        <v>1363430.44</v>
      </c>
      <c r="D99" s="4">
        <v>3470489.56</v>
      </c>
    </row>
    <row r="100" spans="1:4" x14ac:dyDescent="0.25">
      <c r="A100" s="5" t="s">
        <v>888</v>
      </c>
      <c r="B100" s="4">
        <v>4007801.9000000004</v>
      </c>
      <c r="C100" s="4">
        <v>5222022.04</v>
      </c>
      <c r="D100" s="4">
        <v>9229823.9400000013</v>
      </c>
    </row>
    <row r="101" spans="1:4" x14ac:dyDescent="0.25">
      <c r="A101" s="5" t="s">
        <v>889</v>
      </c>
      <c r="B101" s="4">
        <v>3049364.5999999996</v>
      </c>
      <c r="C101" s="4">
        <v>3337309.54</v>
      </c>
      <c r="D101" s="4">
        <v>6386674.1399999997</v>
      </c>
    </row>
    <row r="102" spans="1:4" x14ac:dyDescent="0.25">
      <c r="A102" s="5" t="s">
        <v>890</v>
      </c>
      <c r="B102" s="4">
        <v>2615102.7000000002</v>
      </c>
      <c r="C102" s="4">
        <v>4630052.78</v>
      </c>
      <c r="D102" s="4">
        <v>7245155.4800000004</v>
      </c>
    </row>
    <row r="103" spans="1:4" x14ac:dyDescent="0.25">
      <c r="A103" s="5" t="s">
        <v>891</v>
      </c>
      <c r="B103" s="4">
        <v>4045846.82</v>
      </c>
      <c r="C103" s="4">
        <v>5031357.51</v>
      </c>
      <c r="D103" s="4">
        <v>9077204.3300000001</v>
      </c>
    </row>
    <row r="104" spans="1:4" x14ac:dyDescent="0.25">
      <c r="A104" s="5" t="s">
        <v>892</v>
      </c>
      <c r="B104" s="4">
        <v>3612293.87</v>
      </c>
      <c r="C104" s="4">
        <v>2493562.81</v>
      </c>
      <c r="D104" s="4">
        <v>6105856.6799999997</v>
      </c>
    </row>
    <row r="105" spans="1:4" x14ac:dyDescent="0.25">
      <c r="A105" s="5" t="s">
        <v>893</v>
      </c>
      <c r="B105" s="4">
        <v>3667057.2800000003</v>
      </c>
      <c r="C105" s="4">
        <v>2249120.5</v>
      </c>
      <c r="D105" s="4">
        <v>5916177.7800000003</v>
      </c>
    </row>
    <row r="106" spans="1:4" x14ac:dyDescent="0.25">
      <c r="A106" s="5" t="s">
        <v>875</v>
      </c>
      <c r="B106" s="4">
        <v>36494481.780000001</v>
      </c>
      <c r="C106" s="4">
        <v>39680243.07</v>
      </c>
      <c r="D106" s="4">
        <v>76174724.849999994</v>
      </c>
    </row>
    <row r="108" spans="1:4" x14ac:dyDescent="0.25">
      <c r="A108" s="5"/>
      <c r="B108" s="2"/>
    </row>
    <row r="109" spans="1:4" x14ac:dyDescent="0.25">
      <c r="A109" s="5"/>
      <c r="B109" s="2"/>
    </row>
  </sheetData>
  <autoFilter ref="D77:E77" xr:uid="{4A4287C9-5981-401E-ADF1-24592DAD734E}">
    <sortState xmlns:xlrd2="http://schemas.microsoft.com/office/spreadsheetml/2017/richdata2" ref="D78:E87">
      <sortCondition descending="1" ref="E77"/>
    </sortState>
  </autoFilter>
  <sortState xmlns:xlrd2="http://schemas.microsoft.com/office/spreadsheetml/2017/richdata2" ref="D78:E87">
    <sortCondition ref="E77:E87"/>
  </sortState>
  <mergeCells count="5">
    <mergeCell ref="A20:B20"/>
    <mergeCell ref="A27:B27"/>
    <mergeCell ref="A44:B44"/>
    <mergeCell ref="A59:B59"/>
    <mergeCell ref="A76:B76"/>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1C3A-EA0D-4DA7-9405-E33C5C1BD548}">
  <dimension ref="A1:G34"/>
  <sheetViews>
    <sheetView tabSelected="1" topLeftCell="A7" zoomScale="85" zoomScaleNormal="85" workbookViewId="0">
      <selection activeCell="A22" sqref="A22"/>
    </sheetView>
  </sheetViews>
  <sheetFormatPr defaultRowHeight="15" x14ac:dyDescent="0.25"/>
  <cols>
    <col min="1" max="1" width="10.140625" customWidth="1"/>
    <col min="4" max="4" width="13.140625" bestFit="1" customWidth="1"/>
    <col min="5" max="5" width="23.7109375" bestFit="1" customWidth="1"/>
  </cols>
  <sheetData>
    <row r="1" spans="1:2" x14ac:dyDescent="0.25">
      <c r="A1" s="1"/>
      <c r="B1" s="1"/>
    </row>
    <row r="34" spans="7:7" ht="18.75" x14ac:dyDescent="0.25">
      <c r="G34" s="8" t="s">
        <v>900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DCA3D27F-BC2C-4F33-8E6C-D5BD3EBF33F8}">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2CAC100D-7EB7-439C-BE7F-45200C472443}">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Okere</dc:creator>
  <cp:lastModifiedBy>Cynthia Okere</cp:lastModifiedBy>
  <dcterms:created xsi:type="dcterms:W3CDTF">2025-12-01T06:24:08Z</dcterms:created>
  <dcterms:modified xsi:type="dcterms:W3CDTF">2025-12-02T10:00:30Z</dcterms:modified>
</cp:coreProperties>
</file>